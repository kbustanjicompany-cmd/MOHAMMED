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إزاحة 1 م من وجه الخرسانة" sheetId="2" state="visible" r:id="rId2"/>
    <sheet name="بديل - الإزاحة من حد النظافة" sheetId="3" state="visible" r:id="rId3"/>
  </sheets>
  <definedNames>
    <definedName name="_xlnm.Print_Titles" localSheetId="1">'الإزاحة 1 م من وجه الخرسانة'!$5:$6</definedName>
    <definedName name="_xlnm.Print_Titles" localSheetId="2">'بديل - الإزاحة من حد النظافة'!$5:$6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04040"/>
      <sz val="10"/>
    </font>
    <font>
      <name val="Arial"/>
      <b val="1"/>
      <color rgb="001F3864"/>
      <sz val="12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FF"/>
      <sz val="10"/>
    </font>
    <font>
      <name val="Arial"/>
      <color rgb="00595959"/>
      <sz val="9"/>
    </font>
    <font>
      <name val="Arial"/>
      <b val="1"/>
      <color rgb="00000000"/>
      <sz val="10"/>
    </font>
    <font>
      <name val="Arial"/>
      <i val="1"/>
      <color rgb="001F3864"/>
      <sz val="8"/>
    </font>
    <font>
      <name val="Arial"/>
      <color rgb="000000FF"/>
      <sz val="10"/>
    </font>
    <font>
      <name val="Arial"/>
      <b val="1"/>
      <color rgb="001F3864"/>
      <sz val="11"/>
    </font>
    <font>
      <name val="Arial"/>
      <color rgb="00404040"/>
      <sz val="10"/>
    </font>
    <font>
      <name val="Arial"/>
      <color rgb="00008000"/>
      <sz val="10"/>
    </font>
    <font>
      <name val="Arial"/>
      <b val="1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1F3864"/>
      </top>
      <bottom style="medium">
        <color rgb="001F3864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 readingOrder="2"/>
    </xf>
    <xf numFmtId="0" fontId="2" fillId="0" borderId="0" applyAlignment="1" pivotButton="0" quotePrefix="0" xfId="0">
      <alignment horizontal="center" vertical="center" wrapText="1" readingOrder="2"/>
    </xf>
    <xf numFmtId="0" fontId="3" fillId="0" borderId="0" applyAlignment="1" pivotButton="0" quotePrefix="0" xfId="0">
      <alignment horizontal="right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5" fillId="0" borderId="1" applyAlignment="1" pivotButton="0" quotePrefix="0" xfId="0">
      <alignment horizontal="right" vertical="center" wrapText="1" readingOrder="2"/>
    </xf>
    <xf numFmtId="2" fontId="6" fillId="3" borderId="1" applyAlignment="1" pivotButton="0" quotePrefix="0" xfId="0">
      <alignment horizontal="center" vertical="center" wrapText="1" readingOrder="2"/>
    </xf>
    <xf numFmtId="0" fontId="5" fillId="0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center" vertical="center" wrapText="1" readingOrder="2"/>
    </xf>
    <xf numFmtId="0" fontId="5" fillId="4" borderId="1" applyAlignment="1" pivotButton="0" quotePrefix="0" xfId="0">
      <alignment horizontal="right" vertical="center" wrapText="1" readingOrder="2"/>
    </xf>
    <xf numFmtId="0" fontId="5" fillId="4" borderId="1" applyAlignment="1" pivotButton="0" quotePrefix="0" xfId="0">
      <alignment horizontal="center" vertical="center" wrapText="1" readingOrder="2"/>
    </xf>
    <xf numFmtId="0" fontId="7" fillId="4" borderId="1" applyAlignment="1" pivotButton="0" quotePrefix="0" xfId="0">
      <alignment horizontal="center" vertical="center" wrapText="1" readingOrder="2"/>
    </xf>
    <xf numFmtId="2" fontId="8" fillId="4" borderId="1" applyAlignment="1" pivotButton="0" quotePrefix="0" xfId="0">
      <alignment horizontal="center" vertical="center" wrapText="1" readingOrder="2"/>
    </xf>
    <xf numFmtId="2" fontId="8" fillId="0" borderId="1" applyAlignment="1" pivotButton="0" quotePrefix="0" xfId="0">
      <alignment horizontal="center" vertical="center" wrapText="1" readingOrder="2"/>
    </xf>
    <xf numFmtId="164" fontId="13" fillId="0" borderId="1" applyAlignment="1" pivotButton="0" quotePrefix="0" xfId="0">
      <alignment horizontal="center" vertical="center" wrapText="1" readingOrder="2"/>
    </xf>
    <xf numFmtId="164" fontId="13" fillId="4" borderId="1" applyAlignment="1" pivotButton="0" quotePrefix="0" xfId="0">
      <alignment horizontal="center" vertical="center" wrapText="1" readingOrder="2"/>
    </xf>
    <xf numFmtId="0" fontId="8" fillId="3" borderId="1" applyAlignment="1" pivotButton="0" quotePrefix="0" xfId="0">
      <alignment horizontal="right" vertical="center" wrapText="1" readingOrder="2"/>
    </xf>
    <xf numFmtId="164" fontId="14" fillId="3" borderId="1" applyAlignment="1" pivotButton="0" quotePrefix="0" xfId="0">
      <alignment horizontal="center" vertical="center" wrapText="1" readingOrder="2"/>
    </xf>
    <xf numFmtId="0" fontId="5" fillId="3" borderId="1" applyAlignment="1" pivotButton="0" quotePrefix="0" xfId="0">
      <alignment horizontal="center" vertical="center" wrapText="1" readingOrder="2"/>
    </xf>
    <xf numFmtId="0" fontId="12" fillId="0" borderId="0" applyAlignment="1" pivotButton="0" quotePrefix="0" xfId="0">
      <alignment horizontal="right" vertical="center" wrapText="1" readingOrder="2"/>
    </xf>
    <xf numFmtId="0" fontId="9" fillId="5" borderId="1" applyAlignment="1" pivotButton="0" quotePrefix="0" xfId="0">
      <alignment horizontal="center" vertical="center" wrapText="1" readingOrder="2"/>
    </xf>
    <xf numFmtId="164" fontId="10" fillId="0" borderId="1" applyAlignment="1" pivotButton="0" quotePrefix="0" xfId="0">
      <alignment horizontal="center" vertical="center" wrapText="1" readingOrder="2"/>
    </xf>
    <xf numFmtId="164" fontId="5" fillId="0" borderId="1" applyAlignment="1" pivotButton="0" quotePrefix="0" xfId="0">
      <alignment horizontal="center" vertical="center" wrapText="1" readingOrder="2"/>
    </xf>
    <xf numFmtId="164" fontId="8" fillId="0" borderId="1" applyAlignment="1" pivotButton="0" quotePrefix="0" xfId="0">
      <alignment horizontal="center" vertical="center" wrapText="1" readingOrder="2"/>
    </xf>
    <xf numFmtId="164" fontId="10" fillId="4" borderId="1" applyAlignment="1" pivotButton="0" quotePrefix="0" xfId="0">
      <alignment horizontal="center" vertical="center" wrapText="1" readingOrder="2"/>
    </xf>
    <xf numFmtId="164" fontId="5" fillId="4" borderId="1" applyAlignment="1" pivotButton="0" quotePrefix="0" xfId="0">
      <alignment horizontal="center" vertical="center" wrapText="1" readingOrder="2"/>
    </xf>
    <xf numFmtId="164" fontId="8" fillId="4" borderId="1" applyAlignment="1" pivotButton="0" quotePrefix="0" xfId="0">
      <alignment horizontal="center" vertical="center" wrapText="1" readingOrder="2"/>
    </xf>
    <xf numFmtId="0" fontId="8" fillId="5" borderId="2" applyAlignment="1" pivotButton="0" quotePrefix="0" xfId="0">
      <alignment horizontal="center" vertical="center" wrapText="1" readingOrder="2"/>
    </xf>
    <xf numFmtId="0" fontId="5" fillId="5" borderId="2" applyAlignment="1" pivotButton="0" quotePrefix="0" xfId="0">
      <alignment horizontal="center" vertical="center" wrapText="1" readingOrder="2"/>
    </xf>
    <xf numFmtId="164" fontId="8" fillId="5" borderId="2" applyAlignment="1" pivotButton="0" quotePrefix="0" xfId="0">
      <alignment horizontal="center" vertical="center" wrapText="1" readingOrder="2"/>
    </xf>
    <xf numFmtId="0" fontId="11" fillId="0" borderId="0" applyAlignment="1" pivotButton="0" quotePrefix="0" xfId="0">
      <alignment horizontal="right" vertical="center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C13" authorId="0" shapeId="0">
      <text>
        <t>للعلم فقط: المساحات في صفحات التفصيل مقيسة من الرسم بهذه الإزاحة؛ تغيير هذه الخلية لا يغيّر المساحات.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E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6" customWidth="1" min="3" max="3"/>
    <col width="16" customWidth="1" min="4" max="4"/>
    <col width="16" customWidth="1" min="5" max="5"/>
    <col width="4" customWidth="1" min="6" max="6"/>
  </cols>
  <sheetData>
    <row r="2" ht="32" customHeight="1">
      <c r="B2" s="1" t="inlineStr">
        <is>
          <t>كميات الخرسانة السيكلوبية (دبش + خرسانة) – القواعد المهشرة – المنطقة الثانية</t>
        </is>
      </c>
    </row>
    <row r="3" ht="30" customHeight="1">
      <c r="B3" s="2" t="inlineStr">
        <is>
          <t>الحفر والردم الإضافيان الناتجان عن بند السيكلوبين مقارنةً بالحفر على مساحة النظافة</t>
        </is>
      </c>
    </row>
    <row r="5">
      <c r="B5" s="3" t="inlineStr">
        <is>
          <t>أولاً: المعطيات</t>
        </is>
      </c>
    </row>
    <row r="6" ht="24" customHeight="1">
      <c r="B6" s="4" t="inlineStr">
        <is>
          <t>البند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ملاحظة</t>
        </is>
      </c>
    </row>
    <row r="7">
      <c r="B7" s="5" t="inlineStr">
        <is>
          <t>منسوب الحفر العام (بداية حفر القواعد)</t>
        </is>
      </c>
      <c r="C7" s="6" t="n">
        <v>1120.9</v>
      </c>
      <c r="D7" s="7" t="inlineStr">
        <is>
          <t>م</t>
        </is>
      </c>
      <c r="E7" s="8" t="inlineStr">
        <is>
          <t>مُدخل</t>
        </is>
      </c>
    </row>
    <row r="8">
      <c r="B8" s="9" t="inlineStr">
        <is>
          <t>منسوب الحفر النهائي = منسوب أسفل السيكلوبين</t>
        </is>
      </c>
      <c r="C8" s="6" t="n">
        <v>1118</v>
      </c>
      <c r="D8" s="10" t="inlineStr">
        <is>
          <t>م</t>
        </is>
      </c>
      <c r="E8" s="11" t="inlineStr">
        <is>
          <t>مُدخل</t>
        </is>
      </c>
    </row>
    <row r="9">
      <c r="B9" s="5" t="inlineStr">
        <is>
          <t>سماكة طبقة السيكلوبين</t>
        </is>
      </c>
      <c r="C9" s="6" t="n">
        <v>0.5</v>
      </c>
      <c r="D9" s="7" t="inlineStr">
        <is>
          <t>م</t>
        </is>
      </c>
      <c r="E9" s="8" t="inlineStr">
        <is>
          <t>مُدخل</t>
        </is>
      </c>
    </row>
    <row r="10">
      <c r="B10" s="9" t="inlineStr">
        <is>
          <t>منسوب سطح السيكلوبين = منسوب تأسيس القواعد</t>
        </is>
      </c>
      <c r="C10" s="12">
        <f>C8+C9</f>
        <v>1118.5</v>
      </c>
      <c r="D10" s="10" t="inlineStr">
        <is>
          <t>م</t>
        </is>
      </c>
      <c r="E10" s="11" t="inlineStr">
        <is>
          <t>محسوب</t>
        </is>
      </c>
    </row>
    <row r="11">
      <c r="B11" s="5" t="inlineStr">
        <is>
          <t>عمق الحفر من المنسوب العام إلى منسوب الحفر النهائي</t>
        </is>
      </c>
      <c r="C11" s="13">
        <f>C7-C8</f>
        <v>2.900000000000091</v>
      </c>
      <c r="D11" s="7" t="inlineStr">
        <is>
          <t>م</t>
        </is>
      </c>
      <c r="E11" s="8" t="inlineStr">
        <is>
          <t>محسوب</t>
        </is>
      </c>
    </row>
    <row r="12">
      <c r="B12" s="9" t="inlineStr">
        <is>
          <t>ارتفاع الردم فوق السيكلوبين حتى المنسوب العام</t>
        </is>
      </c>
      <c r="C12" s="12">
        <f>C7-C10</f>
        <v>2.400000000000091</v>
      </c>
      <c r="D12" s="10" t="inlineStr">
        <is>
          <t>م</t>
        </is>
      </c>
      <c r="E12" s="11" t="inlineStr">
        <is>
          <t>محسوب</t>
        </is>
      </c>
    </row>
    <row r="13">
      <c r="B13" s="5" t="inlineStr">
        <is>
          <t>إزاحة السيكلوبين حول القواعد</t>
        </is>
      </c>
      <c r="C13" s="13" t="n">
        <v>1</v>
      </c>
      <c r="D13" s="7" t="inlineStr">
        <is>
          <t>م</t>
        </is>
      </c>
      <c r="E13" s="8" t="inlineStr">
        <is>
          <t>لا إزاحة على الوجه الخارجي للجدار الاستنادي</t>
        </is>
      </c>
    </row>
    <row r="16">
      <c r="B16" s="3" t="inlineStr">
        <is>
          <t>ثانياً: ملخص الكميات</t>
        </is>
      </c>
    </row>
    <row r="17" ht="48" customHeight="1">
      <c r="B17" s="4" t="inlineStr">
        <is>
          <t>البند</t>
        </is>
      </c>
      <c r="C17" s="4" t="inlineStr">
        <is>
          <t>المعتمد: الإزاحة
من وجه الخرسانة</t>
        </is>
      </c>
      <c r="D17" s="4" t="inlineStr">
        <is>
          <t>للمقارنة: الإزاحة
من حد النظافة</t>
        </is>
      </c>
      <c r="E17" s="4" t="inlineStr">
        <is>
          <t>الوحدة</t>
        </is>
      </c>
    </row>
    <row r="18">
      <c r="B18" s="5" t="inlineStr">
        <is>
          <t>مساحة النظافة (القواعد المهشرة)</t>
        </is>
      </c>
      <c r="C18" s="14">
        <f>'الإزاحة 1 م من وجه الخرسانة'!D12</f>
        <v>243.68</v>
      </c>
      <c r="D18" s="14">
        <f>'بديل - الإزاحة من حد النظافة'!D12</f>
        <v>243.68</v>
      </c>
      <c r="E18" s="7" t="inlineStr">
        <is>
          <t>م²</t>
        </is>
      </c>
    </row>
    <row r="19">
      <c r="B19" s="9" t="inlineStr">
        <is>
          <t>مساحة السيكلوبين</t>
        </is>
      </c>
      <c r="C19" s="15">
        <f>'الإزاحة 1 م من وجه الخرسانة'!E12</f>
        <v>369.84000000000003</v>
      </c>
      <c r="D19" s="15">
        <f>'بديل - الإزاحة من حد النظافة'!E12</f>
        <v>384.25</v>
      </c>
      <c r="E19" s="10" t="inlineStr">
        <is>
          <t>م²</t>
        </is>
      </c>
    </row>
    <row r="20">
      <c r="B20" s="5" t="inlineStr">
        <is>
          <t>مساحة شريط الإزاحة</t>
        </is>
      </c>
      <c r="C20" s="14">
        <f>'الإزاحة 1 م من وجه الخرسانة'!F12</f>
        <v>126.16</v>
      </c>
      <c r="D20" s="14">
        <f>'بديل - الإزاحة من حد النظافة'!F12</f>
        <v>140.57</v>
      </c>
      <c r="E20" s="7" t="inlineStr">
        <is>
          <t>م²</t>
        </is>
      </c>
    </row>
    <row r="21">
      <c r="B21" s="9" t="inlineStr">
        <is>
          <t>الحفر قبل – على مساحة النظافة</t>
        </is>
      </c>
      <c r="C21" s="15">
        <f>'الإزاحة 1 م من وجه الخرسانة'!G12</f>
        <v>706.6720000000222</v>
      </c>
      <c r="D21" s="15">
        <f>'بديل - الإزاحة من حد النظافة'!G12</f>
        <v>706.6720000000222</v>
      </c>
      <c r="E21" s="10" t="inlineStr">
        <is>
          <t>م³</t>
        </is>
      </c>
    </row>
    <row r="22">
      <c r="B22" s="5" t="inlineStr">
        <is>
          <t>الحفر بعد – على مساحة السيكلوبين</t>
        </is>
      </c>
      <c r="C22" s="14">
        <f>'الإزاحة 1 م من وجه الخرسانة'!H12</f>
        <v>1072.5360000000337</v>
      </c>
      <c r="D22" s="14">
        <f>'بديل - الإزاحة من حد النظافة'!H12</f>
        <v>1114.325000000035</v>
      </c>
      <c r="E22" s="7" t="inlineStr">
        <is>
          <t>م³</t>
        </is>
      </c>
    </row>
    <row r="23">
      <c r="B23" s="16" t="inlineStr">
        <is>
          <t>الحفر الزائد</t>
        </is>
      </c>
      <c r="C23" s="17">
        <f>'الإزاحة 1 م من وجه الخرسانة'!I12</f>
        <v>365.8640000000115</v>
      </c>
      <c r="D23" s="17">
        <f>'بديل - الإزاحة من حد النظافة'!I12</f>
        <v>407.65300000001287</v>
      </c>
      <c r="E23" s="18" t="inlineStr">
        <is>
          <t>م³</t>
        </is>
      </c>
    </row>
    <row r="24">
      <c r="B24" s="16" t="inlineStr">
        <is>
          <t>خرسانة السيكلوبين (دبش + خرسانة)</t>
        </is>
      </c>
      <c r="C24" s="17">
        <f>'الإزاحة 1 م من وجه الخرسانة'!J12</f>
        <v>184.92000000000002</v>
      </c>
      <c r="D24" s="17">
        <f>'بديل - الإزاحة من حد النظافة'!J12</f>
        <v>192.125</v>
      </c>
      <c r="E24" s="18" t="inlineStr">
        <is>
          <t>م³</t>
        </is>
      </c>
    </row>
    <row r="25">
      <c r="B25" s="16" t="inlineStr">
        <is>
          <t>الردم الزائد</t>
        </is>
      </c>
      <c r="C25" s="17">
        <f>'الإزاحة 1 م من وجه الخرسانة'!K12</f>
        <v>302.7840000000115</v>
      </c>
      <c r="D25" s="17">
        <f>'بديل - الإزاحة من حد النظافة'!K12</f>
        <v>337.3680000000128</v>
      </c>
      <c r="E25" s="18" t="inlineStr">
        <is>
          <t>م³</t>
        </is>
      </c>
    </row>
    <row r="27">
      <c r="B27" s="19" t="inlineStr">
        <is>
          <t>• المعتمد: إزاحة 1 م من وجه الخرسانة (العمود الأول)؛ العمود الثاني للمقارنة فقط.</t>
        </is>
      </c>
    </row>
    <row r="28">
      <c r="B28" s="19" t="inlineStr">
        <is>
          <t>• الخلايا الصفراء في المعطيات قابلة للتعديل وتُحدّث كل الجداول تلقائياً.</t>
        </is>
      </c>
    </row>
  </sheetData>
  <mergeCells count="6">
    <mergeCell ref="B27:E27"/>
    <mergeCell ref="B16:E16"/>
    <mergeCell ref="B3:E3"/>
    <mergeCell ref="B5:E5"/>
    <mergeCell ref="B2:E2"/>
    <mergeCell ref="B28:E28"/>
  </mergeCells>
  <printOptions horizontalCentered="1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K20"/>
  <sheetViews>
    <sheetView showGridLines="0"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" customWidth="1" min="12" max="12"/>
  </cols>
  <sheetData>
    <row r="2" ht="32" customHeight="1">
      <c r="B2" s="1" t="inlineStr">
        <is>
          <t>جدول تفصيلي – الإزاحة 1 م من وجه الخرسانة</t>
        </is>
      </c>
    </row>
    <row r="3" ht="30" customHeight="1">
      <c r="B3" s="2" t="inlineStr">
        <is>
          <t>المعتمد: الإزاحة 1.0 م مقيسة من وجه الخرسانة (0.9 م من حد النظافة) – بدون إزاحة على الوجه الخارجي للجدار الاستنادي</t>
        </is>
      </c>
    </row>
    <row r="5" ht="48" customHeight="1">
      <c r="B5" s="4" t="inlineStr">
        <is>
          <t>م</t>
        </is>
      </c>
      <c r="C5" s="4" t="inlineStr">
        <is>
          <t>القاعدة</t>
        </is>
      </c>
      <c r="D5" s="4" t="inlineStr">
        <is>
          <t>مساحة النظافة
(م²)</t>
        </is>
      </c>
      <c r="E5" s="4" t="inlineStr">
        <is>
          <t>مساحة السيكلوبين
(م²)</t>
        </is>
      </c>
      <c r="F5" s="4" t="inlineStr">
        <is>
          <t>مساحة شريط الإزاحة
(م²)</t>
        </is>
      </c>
      <c r="G5" s="4" t="inlineStr">
        <is>
          <t>الحفر قبل
على مساحة النظافة
(م³)</t>
        </is>
      </c>
      <c r="H5" s="4" t="inlineStr">
        <is>
          <t>الحفر بعد
على مساحة السيكلوبين
(م³)</t>
        </is>
      </c>
      <c r="I5" s="4" t="inlineStr">
        <is>
          <t>الحفر الزائد
(م³)</t>
        </is>
      </c>
      <c r="J5" s="4" t="inlineStr">
        <is>
          <t>خرسانة السيكلوبين
(م³)</t>
        </is>
      </c>
      <c r="K5" s="4" t="inlineStr">
        <is>
          <t>الردم الزائد
(م³)</t>
        </is>
      </c>
    </row>
    <row r="6">
      <c r="B6" s="20" t="inlineStr"/>
      <c r="C6" s="20" t="inlineStr"/>
      <c r="D6" s="20" t="inlineStr">
        <is>
          <t>من الرسم</t>
        </is>
      </c>
      <c r="E6" s="20" t="inlineStr">
        <is>
          <t>من الرسم</t>
        </is>
      </c>
      <c r="F6" s="20" t="inlineStr">
        <is>
          <t>سيكلوبين − نظافة</t>
        </is>
      </c>
      <c r="G6" s="20" t="inlineStr">
        <is>
          <t>نظافة × عمق الحفر</t>
        </is>
      </c>
      <c r="H6" s="20" t="inlineStr">
        <is>
          <t>سيكلوبين × عمق الحفر</t>
        </is>
      </c>
      <c r="I6" s="20" t="inlineStr">
        <is>
          <t>بعد − قبل</t>
        </is>
      </c>
      <c r="J6" s="20" t="inlineStr">
        <is>
          <t>سيكلوبين × السماكة</t>
        </is>
      </c>
      <c r="K6" s="20" t="inlineStr">
        <is>
          <t>شريط × ارتفاع الردم</t>
        </is>
      </c>
    </row>
    <row r="7">
      <c r="B7" s="7" t="n">
        <v>1</v>
      </c>
      <c r="C7" s="5" t="inlineStr">
        <is>
          <t>قاعدة الجدار الاستنادي – الجزء الشمالي والشرقي</t>
        </is>
      </c>
      <c r="D7" s="21" t="n">
        <v>180.09</v>
      </c>
      <c r="E7" s="21" t="n">
        <v>254</v>
      </c>
      <c r="F7" s="22">
        <f>E7-D7</f>
        <v>73.91</v>
      </c>
      <c r="G7" s="22">
        <f>D7*'الملخص'!$C$11</f>
        <v>522.2610000000163</v>
      </c>
      <c r="H7" s="22">
        <f>E7*'الملخص'!$C$11</f>
        <v>736.6000000000231</v>
      </c>
      <c r="I7" s="23">
        <f>H7-G7</f>
        <v>214.33900000000676</v>
      </c>
      <c r="J7" s="23">
        <f>E7*'الملخص'!$C$9</f>
        <v>127.0</v>
      </c>
      <c r="K7" s="23">
        <f>F7*'الملخص'!$C$12</f>
        <v>177.38400000000672</v>
      </c>
    </row>
    <row r="8">
      <c r="B8" s="10" t="n">
        <v>2</v>
      </c>
      <c r="C8" s="9" t="inlineStr">
        <is>
          <t>قاعدة الجدار الاستنادي – الجزء الجنوبي والمنحنى</t>
        </is>
      </c>
      <c r="D8" s="24" t="n">
        <v>38.65</v>
      </c>
      <c r="E8" s="24" t="n">
        <v>58.35</v>
      </c>
      <c r="F8" s="25">
        <f>E8-D8</f>
        <v>19.700000000000003</v>
      </c>
      <c r="G8" s="25">
        <f>D8*'الملخص'!$C$11</f>
        <v>112.08500000000352</v>
      </c>
      <c r="H8" s="25">
        <f>E8*'الملخص'!$C$11</f>
        <v>169.21500000000532</v>
      </c>
      <c r="I8" s="26">
        <f>H8-G8</f>
        <v>57.1300000000018</v>
      </c>
      <c r="J8" s="26">
        <f>E8*'الملخص'!$C$9</f>
        <v>29.175</v>
      </c>
      <c r="K8" s="26">
        <f>F8*'الملخص'!$C$12</f>
        <v>47.2800000000018</v>
      </c>
    </row>
    <row r="9">
      <c r="B9" s="7" t="n">
        <v>3</v>
      </c>
      <c r="C9" s="5" t="inlineStr">
        <is>
          <t>قاعدة منفصلة P1</t>
        </is>
      </c>
      <c r="D9" s="21" t="n">
        <v>14.44</v>
      </c>
      <c r="E9" s="21" t="n">
        <v>28.33</v>
      </c>
      <c r="F9" s="22">
        <f>E9-D9</f>
        <v>13.889999999999999</v>
      </c>
      <c r="G9" s="22">
        <f>D9*'الملخص'!$C$11</f>
        <v>41.87600000000131</v>
      </c>
      <c r="H9" s="22">
        <f>E9*'الملخص'!$C$11</f>
        <v>82.15700000000257</v>
      </c>
      <c r="I9" s="23">
        <f>H9-G9</f>
        <v>40.28100000000126</v>
      </c>
      <c r="J9" s="23">
        <f>E9*'الملخص'!$C$9</f>
        <v>14.165</v>
      </c>
      <c r="K9" s="23">
        <f>F9*'الملخص'!$C$12</f>
        <v>33.33600000000126</v>
      </c>
    </row>
    <row r="10">
      <c r="B10" s="10" t="n">
        <v>4</v>
      </c>
      <c r="C10" s="9" t="inlineStr">
        <is>
          <t>قاعدة منفصلة P2</t>
        </is>
      </c>
      <c r="D10" s="24" t="n">
        <v>5.25</v>
      </c>
      <c r="E10" s="24" t="n">
        <v>16.29</v>
      </c>
      <c r="F10" s="25">
        <f>E10-D10</f>
        <v>11.04</v>
      </c>
      <c r="G10" s="25">
        <f>D10*'الملخص'!$C$11</f>
        <v>15.225000000000477</v>
      </c>
      <c r="H10" s="25">
        <f>E10*'الملخص'!$C$11</f>
        <v>47.24100000000148</v>
      </c>
      <c r="I10" s="26">
        <f>H10-G10</f>
        <v>32.016000000001</v>
      </c>
      <c r="J10" s="26">
        <f>E10*'الملخص'!$C$9</f>
        <v>8.145</v>
      </c>
      <c r="K10" s="26">
        <f>F10*'الملخص'!$C$12</f>
        <v>26.496000000001</v>
      </c>
    </row>
    <row r="11">
      <c r="B11" s="7" t="n">
        <v>5</v>
      </c>
      <c r="C11" s="5" t="inlineStr">
        <is>
          <t>قاعدة منفصلة P3</t>
        </is>
      </c>
      <c r="D11" s="21" t="n">
        <v>5.25</v>
      </c>
      <c r="E11" s="21" t="n">
        <v>12.87</v>
      </c>
      <c r="F11" s="22">
        <f>E11-D11</f>
        <v>7.619999999999999</v>
      </c>
      <c r="G11" s="22">
        <f>D11*'الملخص'!$C$11</f>
        <v>15.225000000000477</v>
      </c>
      <c r="H11" s="22">
        <f>E11*'الملخص'!$C$11</f>
        <v>37.323000000001166</v>
      </c>
      <c r="I11" s="23">
        <f>H11-G11</f>
        <v>22.098000000000688</v>
      </c>
      <c r="J11" s="23">
        <f>E11*'الملخص'!$C$9</f>
        <v>6.435</v>
      </c>
      <c r="K11" s="23">
        <f>F11*'الملخص'!$C$12</f>
        <v>18.28800000000069</v>
      </c>
    </row>
    <row r="12">
      <c r="B12" s="27" t="inlineStr">
        <is>
          <t>المجموع</t>
        </is>
      </c>
      <c r="C12" s="28" t="n"/>
      <c r="D12" s="29">
        <f>SUM(D7:D11)</f>
        <v>243.68</v>
      </c>
      <c r="E12" s="29">
        <f>SUM(E7:E11)</f>
        <v>369.84000000000003</v>
      </c>
      <c r="F12" s="29">
        <f>SUM(F7:F11)</f>
        <v>126.16</v>
      </c>
      <c r="G12" s="29">
        <f>SUM(G7:G11)</f>
        <v>706.6720000000222</v>
      </c>
      <c r="H12" s="29">
        <f>SUM(H7:H11)</f>
        <v>1072.5360000000337</v>
      </c>
      <c r="I12" s="29">
        <f>SUM(I7:I11)</f>
        <v>365.8640000000115</v>
      </c>
      <c r="J12" s="29">
        <f>SUM(J7:J11)</f>
        <v>184.92000000000002</v>
      </c>
      <c r="K12" s="29">
        <f>SUM(K7:K11)</f>
        <v>302.7840000000115</v>
      </c>
    </row>
    <row r="14">
      <c r="B14" s="30" t="inlineStr">
        <is>
          <t>ملاحظات:</t>
        </is>
      </c>
    </row>
    <row r="15">
      <c r="B15" s="19" t="inlineStr">
        <is>
          <t>• مساحات النظافة والسيكلوبين مقيسة من ملف syclopien.dxf (التهشير الرمادي على طبقة S-D-WATER PROOF، وهو مرسوم على حد النظافة).</t>
        </is>
      </c>
    </row>
    <row r="16">
      <c r="B16" s="19" t="inlineStr">
        <is>
          <t>• في أماكن تداخل إزاحات القواعد المتجاورة وُزّعت المساحة المشتركة على أقرب قاعدة حتى لا تُحسب مرتين.</t>
        </is>
      </c>
    </row>
    <row r="17">
      <c r="B17" s="19" t="inlineStr">
        <is>
          <t>• الحفر الزائد = توسيع حفر القواعد بشريط الإزاحة من المنسوب العام حتى منسوب الحفر النهائي؛ لا يوجد حفر تحت هذا المنسوب.</t>
        </is>
      </c>
    </row>
    <row r="18">
      <c r="B18" s="19" t="inlineStr">
        <is>
          <t>• الردم الزائد = شريط الإزاحة فوق السيكلوبين حتى المنسوب العام. لا يشمل الردم فوق القواعد نفسها لأنه موجود في الحالتين.</t>
        </is>
      </c>
    </row>
    <row r="19">
      <c r="B19" s="19" t="inlineStr">
        <is>
          <t>• الجوانب محسوبة رأسية؛ أي ميول في جوانب الحفر تزيد الحفر والردم.</t>
        </is>
      </c>
    </row>
    <row r="20">
      <c r="B20" s="19" t="inlineStr">
        <is>
          <t>• الخلايا الزرقاء قيم مقيسة من الرسم، والباقي معادلات مرتبطة بصفحة الملخص.</t>
        </is>
      </c>
    </row>
  </sheetData>
  <mergeCells count="10">
    <mergeCell ref="B14:K14"/>
    <mergeCell ref="B17:K17"/>
    <mergeCell ref="B18:K18"/>
    <mergeCell ref="B16:K16"/>
    <mergeCell ref="B15:K15"/>
    <mergeCell ref="B2:K2"/>
    <mergeCell ref="B20:K20"/>
    <mergeCell ref="B3:K3"/>
    <mergeCell ref="B19:K19"/>
    <mergeCell ref="B12:C12"/>
  </mergeCell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K20"/>
  <sheetViews>
    <sheetView showGridLines="0"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" customWidth="1" min="12" max="12"/>
  </cols>
  <sheetData>
    <row r="2" ht="32" customHeight="1">
      <c r="B2" s="1" t="inlineStr">
        <is>
          <t>جدول تفصيلي – بديل - الإزاحة من حد النظافة</t>
        </is>
      </c>
    </row>
    <row r="3" ht="30" customHeight="1">
      <c r="B3" s="2" t="inlineStr">
        <is>
          <t>للمقارنة فقط: الإزاحة 1.0 م مقيسة من خط التهشير (حد النظافة) – بدون إزاحة على الوجه الخارجي للجدار الاستنادي</t>
        </is>
      </c>
    </row>
    <row r="5" ht="48" customHeight="1">
      <c r="B5" s="4" t="inlineStr">
        <is>
          <t>م</t>
        </is>
      </c>
      <c r="C5" s="4" t="inlineStr">
        <is>
          <t>القاعدة</t>
        </is>
      </c>
      <c r="D5" s="4" t="inlineStr">
        <is>
          <t>مساحة النظافة
(م²)</t>
        </is>
      </c>
      <c r="E5" s="4" t="inlineStr">
        <is>
          <t>مساحة السيكلوبين
(م²)</t>
        </is>
      </c>
      <c r="F5" s="4" t="inlineStr">
        <is>
          <t>مساحة شريط الإزاحة
(م²)</t>
        </is>
      </c>
      <c r="G5" s="4" t="inlineStr">
        <is>
          <t>الحفر قبل
على مساحة النظافة
(م³)</t>
        </is>
      </c>
      <c r="H5" s="4" t="inlineStr">
        <is>
          <t>الحفر بعد
على مساحة السيكلوبين
(م³)</t>
        </is>
      </c>
      <c r="I5" s="4" t="inlineStr">
        <is>
          <t>الحفر الزائد
(م³)</t>
        </is>
      </c>
      <c r="J5" s="4" t="inlineStr">
        <is>
          <t>خرسانة السيكلوبين
(م³)</t>
        </is>
      </c>
      <c r="K5" s="4" t="inlineStr">
        <is>
          <t>الردم الزائد
(م³)</t>
        </is>
      </c>
    </row>
    <row r="6">
      <c r="B6" s="20" t="inlineStr"/>
      <c r="C6" s="20" t="inlineStr"/>
      <c r="D6" s="20" t="inlineStr">
        <is>
          <t>من الرسم</t>
        </is>
      </c>
      <c r="E6" s="20" t="inlineStr">
        <is>
          <t>من الرسم</t>
        </is>
      </c>
      <c r="F6" s="20" t="inlineStr">
        <is>
          <t>سيكلوبين − نظافة</t>
        </is>
      </c>
      <c r="G6" s="20" t="inlineStr">
        <is>
          <t>نظافة × عمق الحفر</t>
        </is>
      </c>
      <c r="H6" s="20" t="inlineStr">
        <is>
          <t>سيكلوبين × عمق الحفر</t>
        </is>
      </c>
      <c r="I6" s="20" t="inlineStr">
        <is>
          <t>بعد − قبل</t>
        </is>
      </c>
      <c r="J6" s="20" t="inlineStr">
        <is>
          <t>سيكلوبين × السماكة</t>
        </is>
      </c>
      <c r="K6" s="20" t="inlineStr">
        <is>
          <t>شريط × ارتفاع الردم</t>
        </is>
      </c>
    </row>
    <row r="7">
      <c r="B7" s="7" t="n">
        <v>1</v>
      </c>
      <c r="C7" s="5" t="inlineStr">
        <is>
          <t>قاعدة الجدار الاستنادي – الجزء الشمالي والشرقي</t>
        </is>
      </c>
      <c r="D7" s="21" t="n">
        <v>180.09</v>
      </c>
      <c r="E7" s="21" t="n">
        <v>262.24</v>
      </c>
      <c r="F7" s="22">
        <f>E7-D7</f>
        <v>82.15</v>
      </c>
      <c r="G7" s="22">
        <f>D7*'الملخص'!$C$11</f>
        <v>522.2610000000163</v>
      </c>
      <c r="H7" s="22">
        <f>E7*'الملخص'!$C$11</f>
        <v>760.4960000000239</v>
      </c>
      <c r="I7" s="23">
        <f>H7-G7</f>
        <v>238.23500000000752</v>
      </c>
      <c r="J7" s="23">
        <f>E7*'الملخص'!$C$9</f>
        <v>131.12</v>
      </c>
      <c r="K7" s="23">
        <f>F7*'الملخص'!$C$12</f>
        <v>197.16000000000747</v>
      </c>
    </row>
    <row r="8">
      <c r="B8" s="10" t="n">
        <v>2</v>
      </c>
      <c r="C8" s="9" t="inlineStr">
        <is>
          <t>قاعدة الجدار الاستنادي – الجزء الجنوبي والمنحنى</t>
        </is>
      </c>
      <c r="D8" s="24" t="n">
        <v>38.65</v>
      </c>
      <c r="E8" s="24" t="n">
        <v>60.51</v>
      </c>
      <c r="F8" s="25">
        <f>E8-D8</f>
        <v>21.86</v>
      </c>
      <c r="G8" s="25">
        <f>D8*'الملخص'!$C$11</f>
        <v>112.08500000000352</v>
      </c>
      <c r="H8" s="25">
        <f>E8*'الملخص'!$C$11</f>
        <v>175.4790000000055</v>
      </c>
      <c r="I8" s="26">
        <f>H8-G8</f>
        <v>63.39400000000198</v>
      </c>
      <c r="J8" s="26">
        <f>E8*'الملخص'!$C$9</f>
        <v>30.255</v>
      </c>
      <c r="K8" s="26">
        <f>F8*'الملخص'!$C$12</f>
        <v>52.46400000000199</v>
      </c>
    </row>
    <row r="9">
      <c r="B9" s="7" t="n">
        <v>3</v>
      </c>
      <c r="C9" s="5" t="inlineStr">
        <is>
          <t>قاعدة منفصلة P1</t>
        </is>
      </c>
      <c r="D9" s="21" t="n">
        <v>14.44</v>
      </c>
      <c r="E9" s="21" t="n">
        <v>29.95</v>
      </c>
      <c r="F9" s="22">
        <f>E9-D9</f>
        <v>15.51</v>
      </c>
      <c r="G9" s="22">
        <f>D9*'الملخص'!$C$11</f>
        <v>41.87600000000131</v>
      </c>
      <c r="H9" s="22">
        <f>E9*'الملخص'!$C$11</f>
        <v>86.85500000000272</v>
      </c>
      <c r="I9" s="23">
        <f>H9-G9</f>
        <v>44.979000000001406</v>
      </c>
      <c r="J9" s="23">
        <f>E9*'الملخص'!$C$9</f>
        <v>14.975</v>
      </c>
      <c r="K9" s="23">
        <f>F9*'الملخص'!$C$12</f>
        <v>37.22400000000141</v>
      </c>
    </row>
    <row r="10">
      <c r="B10" s="10" t="n">
        <v>4</v>
      </c>
      <c r="C10" s="9" t="inlineStr">
        <is>
          <t>قاعدة منفصلة P2</t>
        </is>
      </c>
      <c r="D10" s="24" t="n">
        <v>5.25</v>
      </c>
      <c r="E10" s="24" t="n">
        <v>17.73</v>
      </c>
      <c r="F10" s="25">
        <f>E10-D10</f>
        <v>12.48</v>
      </c>
      <c r="G10" s="25">
        <f>D10*'الملخص'!$C$11</f>
        <v>15.225000000000477</v>
      </c>
      <c r="H10" s="25">
        <f>E10*'الملخص'!$C$11</f>
        <v>51.417000000001615</v>
      </c>
      <c r="I10" s="26">
        <f>H10-G10</f>
        <v>36.19200000000114</v>
      </c>
      <c r="J10" s="26">
        <f>E10*'الملخص'!$C$9</f>
        <v>8.865</v>
      </c>
      <c r="K10" s="26">
        <f>F10*'الملخص'!$C$12</f>
        <v>29.952000000001135</v>
      </c>
    </row>
    <row r="11">
      <c r="B11" s="7" t="n">
        <v>5</v>
      </c>
      <c r="C11" s="5" t="inlineStr">
        <is>
          <t>قاعدة منفصلة P3</t>
        </is>
      </c>
      <c r="D11" s="21" t="n">
        <v>5.25</v>
      </c>
      <c r="E11" s="21" t="n">
        <v>13.82</v>
      </c>
      <c r="F11" s="22">
        <f>E11-D11</f>
        <v>8.57</v>
      </c>
      <c r="G11" s="22">
        <f>D11*'الملخص'!$C$11</f>
        <v>15.225000000000477</v>
      </c>
      <c r="H11" s="22">
        <f>E11*'الملخص'!$C$11</f>
        <v>40.07800000000126</v>
      </c>
      <c r="I11" s="23">
        <f>H11-G11</f>
        <v>24.853000000000783</v>
      </c>
      <c r="J11" s="23">
        <f>E11*'الملخص'!$C$9</f>
        <v>6.91</v>
      </c>
      <c r="K11" s="23">
        <f>F11*'الملخص'!$C$12</f>
        <v>20.56800000000078</v>
      </c>
    </row>
    <row r="12">
      <c r="B12" s="27" t="inlineStr">
        <is>
          <t>المجموع</t>
        </is>
      </c>
      <c r="C12" s="28" t="n"/>
      <c r="D12" s="29">
        <f>SUM(D7:D11)</f>
        <v>243.68</v>
      </c>
      <c r="E12" s="29">
        <f>SUM(E7:E11)</f>
        <v>384.25</v>
      </c>
      <c r="F12" s="29">
        <f>SUM(F7:F11)</f>
        <v>140.57</v>
      </c>
      <c r="G12" s="29">
        <f>SUM(G7:G11)</f>
        <v>706.6720000000222</v>
      </c>
      <c r="H12" s="29">
        <f>SUM(H7:H11)</f>
        <v>1114.325000000035</v>
      </c>
      <c r="I12" s="29">
        <f>SUM(I7:I11)</f>
        <v>407.65300000001287</v>
      </c>
      <c r="J12" s="29">
        <f>SUM(J7:J11)</f>
        <v>192.125</v>
      </c>
      <c r="K12" s="29">
        <f>SUM(K7:K11)</f>
        <v>337.3680000000128</v>
      </c>
    </row>
    <row r="14">
      <c r="B14" s="30" t="inlineStr">
        <is>
          <t>ملاحظات:</t>
        </is>
      </c>
    </row>
    <row r="15">
      <c r="B15" s="19" t="inlineStr">
        <is>
          <t>• مساحات النظافة والسيكلوبين مقيسة من ملف syclopien.dxf (التهشير الرمادي على طبقة S-D-WATER PROOF، وهو مرسوم على حد النظافة).</t>
        </is>
      </c>
    </row>
    <row r="16">
      <c r="B16" s="19" t="inlineStr">
        <is>
          <t>• في أماكن تداخل إزاحات القواعد المتجاورة وُزّعت المساحة المشتركة على أقرب قاعدة حتى لا تُحسب مرتين.</t>
        </is>
      </c>
    </row>
    <row r="17">
      <c r="B17" s="19" t="inlineStr">
        <is>
          <t>• الحفر الزائد = توسيع حفر القواعد بشريط الإزاحة من المنسوب العام حتى منسوب الحفر النهائي؛ لا يوجد حفر تحت هذا المنسوب.</t>
        </is>
      </c>
    </row>
    <row r="18">
      <c r="B18" s="19" t="inlineStr">
        <is>
          <t>• الردم الزائد = شريط الإزاحة فوق السيكلوبين حتى المنسوب العام. لا يشمل الردم فوق القواعد نفسها لأنه موجود في الحالتين.</t>
        </is>
      </c>
    </row>
    <row r="19">
      <c r="B19" s="19" t="inlineStr">
        <is>
          <t>• الجوانب محسوبة رأسية؛ أي ميول في جوانب الحفر تزيد الحفر والردم.</t>
        </is>
      </c>
    </row>
    <row r="20">
      <c r="B20" s="19" t="inlineStr">
        <is>
          <t>• الخلايا الزرقاء قيم مقيسة من الرسم، والباقي معادلات مرتبطة بصفحة الملخص.</t>
        </is>
      </c>
    </row>
  </sheetData>
  <mergeCells count="10">
    <mergeCell ref="B14:K14"/>
    <mergeCell ref="B17:K17"/>
    <mergeCell ref="B18:K18"/>
    <mergeCell ref="B16:K16"/>
    <mergeCell ref="B15:K15"/>
    <mergeCell ref="B2:K2"/>
    <mergeCell ref="B20:K20"/>
    <mergeCell ref="B3:K3"/>
    <mergeCell ref="B19:K19"/>
    <mergeCell ref="B12:C12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2026-10-04T10:04:45Z</dcterms:created>
  <dcterms:modified xsi:type="dcterms:W3CDTF">2026-10-04T10:04:45Z</dcterms:modified>
</cp:coreProperties>
</file>