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الملخص" sheetId="1" state="visible" r:id="rId1"/>
    <sheet name="المقارنة" sheetId="2" state="visible" r:id="rId2"/>
    <sheet name="الردم" sheetId="3" state="visible" r:id="rId3"/>
    <sheet name="الإزاحة 1 م من وجه الخرسانة" sheetId="4" state="visible" r:id="rId4"/>
    <sheet name="بديل - الإزاحة من حد النظافة" sheetId="5" state="visible" r:id="rId5"/>
  </sheets>
  <definedNames>
    <definedName name="_xlnm.Print_Titles" localSheetId="3">'الإزاحة 1 م من وجه الخرسانة'!$5:$6</definedName>
    <definedName name="_xlnm.Print_Titles" localSheetId="4">'بديل - الإزاحة من حد النظافة'!$5:$6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;-#,##0.00;&quot;-&quot;"/>
    <numFmt numFmtId="165" formatCode="0.0%"/>
  </numFmts>
  <fonts count="17">
    <font>
      <name val="Calibri"/>
      <family val="2"/>
      <color theme="1"/>
      <sz val="11"/>
      <scheme val="minor"/>
    </font>
    <font>
      <name val="Arial"/>
      <b val="1"/>
      <color rgb="00FFFFFF"/>
      <sz val="15"/>
    </font>
    <font>
      <name val="Arial"/>
      <i val="1"/>
      <color rgb="00404040"/>
      <sz val="10"/>
    </font>
    <font>
      <name val="Arial"/>
      <b val="1"/>
      <color rgb="001F3864"/>
      <sz val="12"/>
    </font>
    <font>
      <name val="Arial"/>
      <b val="1"/>
      <color rgb="00FFFFFF"/>
      <sz val="10"/>
    </font>
    <font>
      <name val="Arial"/>
      <color rgb="00000000"/>
      <sz val="10"/>
    </font>
    <font>
      <name val="Arial"/>
      <b val="1"/>
      <color rgb="000000FF"/>
      <sz val="10"/>
    </font>
    <font>
      <name val="Arial"/>
      <color rgb="00595959"/>
      <sz val="9"/>
    </font>
    <font>
      <name val="Arial"/>
      <b val="1"/>
      <color rgb="00000000"/>
      <sz val="10"/>
    </font>
    <font>
      <name val="Arial"/>
      <i val="1"/>
      <color rgb="001F3864"/>
      <sz val="8"/>
    </font>
    <font>
      <name val="Arial"/>
      <color rgb="000000FF"/>
      <sz val="10"/>
    </font>
    <font>
      <name val="Arial"/>
      <b val="1"/>
      <color rgb="001F3864"/>
      <sz val="11"/>
    </font>
    <font>
      <name val="Arial"/>
      <color rgb="00404040"/>
      <sz val="10"/>
    </font>
    <font>
      <name val="Arial"/>
      <color rgb="00008000"/>
      <sz val="10"/>
    </font>
    <font>
      <name val="Arial"/>
      <b val="1"/>
      <color rgb="00008000"/>
      <sz val="10"/>
    </font>
    <font>
      <name val="Arial"/>
      <b val="1"/>
      <color rgb="00FFFFFF"/>
      <sz val="11"/>
    </font>
    <font>
      <name val="Arial"/>
      <b val="1"/>
      <color rgb="00C00000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2CC"/>
      </patternFill>
    </fill>
    <fill>
      <patternFill patternType="solid">
        <fgColor rgb="00F2F2F2"/>
      </patternFill>
    </fill>
    <fill>
      <patternFill patternType="solid">
        <fgColor rgb="00D9E2F3"/>
      </patternFill>
    </fill>
    <fill>
      <patternFill patternType="solid">
        <fgColor rgb="002F5496"/>
      </patternFill>
    </fill>
  </fills>
  <borders count="3">
    <border>
      <left/>
      <right/>
      <top/>
      <bottom/>
      <diagonal/>
    </border>
    <border>
      <left style="thin">
        <color rgb="00A6A6A6"/>
      </left>
      <right style="thin">
        <color rgb="00A6A6A6"/>
      </right>
      <top style="thin">
        <color rgb="00A6A6A6"/>
      </top>
      <bottom style="thin">
        <color rgb="00A6A6A6"/>
      </bottom>
    </border>
    <border>
      <left style="thin">
        <color rgb="00A6A6A6"/>
      </left>
      <right style="thin">
        <color rgb="00A6A6A6"/>
      </right>
      <top style="medium">
        <color rgb="001F3864"/>
      </top>
      <bottom style="medium">
        <color rgb="001F3864"/>
      </bottom>
    </border>
  </borders>
  <cellStyleXfs count="1">
    <xf numFmtId="0" fontId="0" fillId="0" borderId="0"/>
  </cellStyleXfs>
  <cellXfs count="4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 readingOrder="2"/>
    </xf>
    <xf numFmtId="0" fontId="2" fillId="0" borderId="0" applyAlignment="1" pivotButton="0" quotePrefix="0" xfId="0">
      <alignment horizontal="center" vertical="center" wrapText="1" readingOrder="2"/>
    </xf>
    <xf numFmtId="0" fontId="3" fillId="0" borderId="0" applyAlignment="1" pivotButton="0" quotePrefix="0" xfId="0">
      <alignment horizontal="right" vertical="center" wrapText="1" readingOrder="2"/>
    </xf>
    <xf numFmtId="0" fontId="4" fillId="2" borderId="1" applyAlignment="1" pivotButton="0" quotePrefix="0" xfId="0">
      <alignment horizontal="center" vertical="center" wrapText="1" readingOrder="2"/>
    </xf>
    <xf numFmtId="0" fontId="5" fillId="0" borderId="1" applyAlignment="1" pivotButton="0" quotePrefix="0" xfId="0">
      <alignment horizontal="right" vertical="center" wrapText="1" readingOrder="2"/>
    </xf>
    <xf numFmtId="2" fontId="6" fillId="3" borderId="1" applyAlignment="1" pivotButton="0" quotePrefix="0" xfId="0">
      <alignment horizontal="center" vertical="center" wrapText="1" readingOrder="2"/>
    </xf>
    <xf numFmtId="0" fontId="5" fillId="0" borderId="1" applyAlignment="1" pivotButton="0" quotePrefix="0" xfId="0">
      <alignment horizontal="center" vertical="center" wrapText="1" readingOrder="2"/>
    </xf>
    <xf numFmtId="0" fontId="7" fillId="0" borderId="1" applyAlignment="1" pivotButton="0" quotePrefix="0" xfId="0">
      <alignment horizontal="center" vertical="center" wrapText="1" readingOrder="2"/>
    </xf>
    <xf numFmtId="0" fontId="5" fillId="4" borderId="1" applyAlignment="1" pivotButton="0" quotePrefix="0" xfId="0">
      <alignment horizontal="right" vertical="center" wrapText="1" readingOrder="2"/>
    </xf>
    <xf numFmtId="0" fontId="5" fillId="4" borderId="1" applyAlignment="1" pivotButton="0" quotePrefix="0" xfId="0">
      <alignment horizontal="center" vertical="center" wrapText="1" readingOrder="2"/>
    </xf>
    <xf numFmtId="0" fontId="7" fillId="4" borderId="1" applyAlignment="1" pivotButton="0" quotePrefix="0" xfId="0">
      <alignment horizontal="center" vertical="center" wrapText="1" readingOrder="2"/>
    </xf>
    <xf numFmtId="2" fontId="8" fillId="4" borderId="1" applyAlignment="1" pivotButton="0" quotePrefix="0" xfId="0">
      <alignment horizontal="center" vertical="center" wrapText="1" readingOrder="2"/>
    </xf>
    <xf numFmtId="2" fontId="8" fillId="0" borderId="1" applyAlignment="1" pivotButton="0" quotePrefix="0" xfId="0">
      <alignment horizontal="center" vertical="center" wrapText="1" readingOrder="2"/>
    </xf>
    <xf numFmtId="164" fontId="13" fillId="0" borderId="1" applyAlignment="1" pivotButton="0" quotePrefix="0" xfId="0">
      <alignment horizontal="center" vertical="center" wrapText="1" readingOrder="2"/>
    </xf>
    <xf numFmtId="164" fontId="13" fillId="4" borderId="1" applyAlignment="1" pivotButton="0" quotePrefix="0" xfId="0">
      <alignment horizontal="center" vertical="center" wrapText="1" readingOrder="2"/>
    </xf>
    <xf numFmtId="0" fontId="8" fillId="3" borderId="1" applyAlignment="1" pivotButton="0" quotePrefix="0" xfId="0">
      <alignment horizontal="right" vertical="center" wrapText="1" readingOrder="2"/>
    </xf>
    <xf numFmtId="164" fontId="14" fillId="3" borderId="1" applyAlignment="1" pivotButton="0" quotePrefix="0" xfId="0">
      <alignment horizontal="center" vertical="center" wrapText="1" readingOrder="2"/>
    </xf>
    <xf numFmtId="0" fontId="5" fillId="3" borderId="1" applyAlignment="1" pivotButton="0" quotePrefix="0" xfId="0">
      <alignment horizontal="center" vertical="center" wrapText="1" readingOrder="2"/>
    </xf>
    <xf numFmtId="164" fontId="5" fillId="4" borderId="1" applyAlignment="1" pivotButton="0" quotePrefix="0" xfId="0">
      <alignment horizontal="center" vertical="center" wrapText="1" readingOrder="2"/>
    </xf>
    <xf numFmtId="164" fontId="8" fillId="3" borderId="1" applyAlignment="1" pivotButton="0" quotePrefix="0" xfId="0">
      <alignment horizontal="center" vertical="center" wrapText="1" readingOrder="2"/>
    </xf>
    <xf numFmtId="0" fontId="12" fillId="0" borderId="0" applyAlignment="1" pivotButton="0" quotePrefix="0" xfId="0">
      <alignment horizontal="right" vertical="center" wrapText="1" readingOrder="2"/>
    </xf>
    <xf numFmtId="0" fontId="15" fillId="6" borderId="1" applyAlignment="1" pivotButton="0" quotePrefix="0" xfId="0">
      <alignment horizontal="center" vertical="center" wrapText="1" readingOrder="2"/>
    </xf>
    <xf numFmtId="0" fontId="0" fillId="6" borderId="1" pivotButton="0" quotePrefix="0" xfId="0"/>
    <xf numFmtId="164" fontId="16" fillId="0" borderId="1" applyAlignment="1" pivotButton="0" quotePrefix="0" xfId="0">
      <alignment horizontal="center" vertical="center" wrapText="1" readingOrder="2"/>
    </xf>
    <xf numFmtId="165" fontId="5" fillId="0" borderId="1" applyAlignment="1" pivotButton="0" quotePrefix="0" xfId="0">
      <alignment horizontal="center" vertical="center" wrapText="1" readingOrder="2"/>
    </xf>
    <xf numFmtId="164" fontId="16" fillId="4" borderId="1" applyAlignment="1" pivotButton="0" quotePrefix="0" xfId="0">
      <alignment horizontal="center" vertical="center" wrapText="1" readingOrder="2"/>
    </xf>
    <xf numFmtId="165" fontId="5" fillId="4" borderId="1" applyAlignment="1" pivotButton="0" quotePrefix="0" xfId="0">
      <alignment horizontal="center" vertical="center" wrapText="1" readingOrder="2"/>
    </xf>
    <xf numFmtId="0" fontId="8" fillId="5" borderId="2" applyAlignment="1" pivotButton="0" quotePrefix="0" xfId="0">
      <alignment horizontal="center" vertical="center" wrapText="1" readingOrder="2"/>
    </xf>
    <xf numFmtId="0" fontId="5" fillId="5" borderId="2" applyAlignment="1" pivotButton="0" quotePrefix="0" xfId="0">
      <alignment horizontal="center" vertical="center" wrapText="1" readingOrder="2"/>
    </xf>
    <xf numFmtId="164" fontId="14" fillId="5" borderId="2" applyAlignment="1" pivotButton="0" quotePrefix="0" xfId="0">
      <alignment horizontal="center" vertical="center" wrapText="1" readingOrder="2"/>
    </xf>
    <xf numFmtId="164" fontId="16" fillId="5" borderId="2" applyAlignment="1" pivotButton="0" quotePrefix="0" xfId="0">
      <alignment horizontal="center" vertical="center" wrapText="1" readingOrder="2"/>
    </xf>
    <xf numFmtId="165" fontId="8" fillId="5" borderId="2" applyAlignment="1" pivotButton="0" quotePrefix="0" xfId="0">
      <alignment horizontal="center" vertical="center" wrapText="1" readingOrder="2"/>
    </xf>
    <xf numFmtId="0" fontId="11" fillId="0" borderId="0" applyAlignment="1" pivotButton="0" quotePrefix="0" xfId="0">
      <alignment horizontal="right" vertical="center" wrapText="1" readingOrder="2"/>
    </xf>
    <xf numFmtId="164" fontId="10" fillId="0" borderId="1" applyAlignment="1" pivotButton="0" quotePrefix="0" xfId="0">
      <alignment horizontal="center" vertical="center" wrapText="1" readingOrder="2"/>
    </xf>
    <xf numFmtId="164" fontId="5" fillId="0" borderId="1" applyAlignment="1" pivotButton="0" quotePrefix="0" xfId="0">
      <alignment horizontal="center" vertical="center" wrapText="1" readingOrder="2"/>
    </xf>
    <xf numFmtId="164" fontId="8" fillId="0" borderId="1" applyAlignment="1" pivotButton="0" quotePrefix="0" xfId="0">
      <alignment horizontal="center" vertical="center" wrapText="1" readingOrder="2"/>
    </xf>
    <xf numFmtId="164" fontId="10" fillId="4" borderId="1" applyAlignment="1" pivotButton="0" quotePrefix="0" xfId="0">
      <alignment horizontal="center" vertical="center" wrapText="1" readingOrder="2"/>
    </xf>
    <xf numFmtId="164" fontId="8" fillId="4" borderId="1" applyAlignment="1" pivotButton="0" quotePrefix="0" xfId="0">
      <alignment horizontal="center" vertical="center" wrapText="1" readingOrder="2"/>
    </xf>
    <xf numFmtId="0" fontId="8" fillId="5" borderId="1" applyAlignment="1" pivotButton="0" quotePrefix="0" xfId="0">
      <alignment horizontal="center" vertical="center" wrapText="1" readingOrder="2"/>
    </xf>
    <xf numFmtId="0" fontId="5" fillId="5" borderId="1" applyAlignment="1" pivotButton="0" quotePrefix="0" xfId="0">
      <alignment horizontal="center" vertical="center" wrapText="1" readingOrder="2"/>
    </xf>
    <xf numFmtId="164" fontId="8" fillId="5" borderId="2" applyAlignment="1" pivotButton="0" quotePrefix="0" xfId="0">
      <alignment horizontal="center" vertical="center" wrapText="1" readingOrder="2"/>
    </xf>
    <xf numFmtId="0" fontId="9" fillId="5" borderId="1" applyAlignment="1" pivotButton="0" quotePrefix="0" xfId="0">
      <alignment horizontal="center" vertical="center" wrapText="1" readingOrder="2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omments/comment1.xml><?xml version="1.0" encoding="utf-8"?>
<comments xmlns="http://schemas.openxmlformats.org/spreadsheetml/2006/main">
  <authors>
    <author>Claude</author>
  </authors>
  <commentList>
    <comment ref="C13" authorId="0" shapeId="0">
      <text>
        <t>للعلم فقط: المساحات في صفحات التفصيل مقيسة من الرسم بهذه الإزاحة؛ تغيير هذه الخلية لا يغيّر المساحات.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E30"/>
  <sheetViews>
    <sheetView showGridLines="0" rightToLeft="1" workbookViewId="0">
      <selection activeCell="A1" sqref="A1"/>
    </sheetView>
  </sheetViews>
  <sheetFormatPr baseColWidth="8" defaultRowHeight="15"/>
  <cols>
    <col width="4" customWidth="1" min="1" max="1"/>
    <col width="46" customWidth="1" min="2" max="2"/>
    <col width="16" customWidth="1" min="3" max="3"/>
    <col width="16" customWidth="1" min="4" max="4"/>
    <col width="16" customWidth="1" min="5" max="5"/>
    <col width="4" customWidth="1" min="6" max="6"/>
  </cols>
  <sheetData>
    <row r="2" ht="32" customHeight="1">
      <c r="B2" s="1" t="inlineStr">
        <is>
          <t>كميات الخرسانة السيكلوبية (دبش + خرسانة) – القواعد المهشرة – المنطقة الثانية</t>
        </is>
      </c>
    </row>
    <row r="3" ht="30" customHeight="1">
      <c r="B3" s="2" t="inlineStr">
        <is>
          <t>الحفر والردم الإضافيان الناتجان عن بند السيكلوبين مقارنةً بالحفر على مساحة النظافة</t>
        </is>
      </c>
    </row>
    <row r="5">
      <c r="B5" s="3" t="inlineStr">
        <is>
          <t>أولاً: المعطيات</t>
        </is>
      </c>
    </row>
    <row r="6" ht="24" customHeight="1">
      <c r="B6" s="4" t="inlineStr">
        <is>
          <t>البند</t>
        </is>
      </c>
      <c r="C6" s="4" t="inlineStr">
        <is>
          <t>القيمة</t>
        </is>
      </c>
      <c r="D6" s="4" t="inlineStr">
        <is>
          <t>الوحدة</t>
        </is>
      </c>
      <c r="E6" s="4" t="inlineStr">
        <is>
          <t>ملاحظة</t>
        </is>
      </c>
    </row>
    <row r="7">
      <c r="B7" s="5" t="inlineStr">
        <is>
          <t>منسوب الحفر العام (بداية حفر القواعد)</t>
        </is>
      </c>
      <c r="C7" s="6" t="n">
        <v>1120.9</v>
      </c>
      <c r="D7" s="7" t="inlineStr">
        <is>
          <t>م</t>
        </is>
      </c>
      <c r="E7" s="8" t="inlineStr">
        <is>
          <t>مُدخل</t>
        </is>
      </c>
    </row>
    <row r="8">
      <c r="B8" s="9" t="inlineStr">
        <is>
          <t>منسوب الحفر النهائي = منسوب أسفل السيكلوبين</t>
        </is>
      </c>
      <c r="C8" s="6" t="n">
        <v>1118</v>
      </c>
      <c r="D8" s="10" t="inlineStr">
        <is>
          <t>م</t>
        </is>
      </c>
      <c r="E8" s="11" t="inlineStr">
        <is>
          <t>مُدخل</t>
        </is>
      </c>
    </row>
    <row r="9">
      <c r="B9" s="5" t="inlineStr">
        <is>
          <t>سماكة طبقة السيكلوبين</t>
        </is>
      </c>
      <c r="C9" s="6" t="n">
        <v>0.5</v>
      </c>
      <c r="D9" s="7" t="inlineStr">
        <is>
          <t>م</t>
        </is>
      </c>
      <c r="E9" s="8" t="inlineStr">
        <is>
          <t>مُدخل</t>
        </is>
      </c>
    </row>
    <row r="10">
      <c r="B10" s="9" t="inlineStr">
        <is>
          <t>منسوب سطح السيكلوبين = منسوب تأسيس القواعد</t>
        </is>
      </c>
      <c r="C10" s="12">
        <f>C8+C9</f>
        <v>1118.5</v>
      </c>
      <c r="D10" s="10" t="inlineStr">
        <is>
          <t>م</t>
        </is>
      </c>
      <c r="E10" s="11" t="inlineStr">
        <is>
          <t>محسوب</t>
        </is>
      </c>
    </row>
    <row r="11">
      <c r="B11" s="5" t="inlineStr">
        <is>
          <t>عمق الحفر من المنسوب العام إلى منسوب الحفر النهائي</t>
        </is>
      </c>
      <c r="C11" s="13">
        <f>C7-C8</f>
        <v>2.900000000000091</v>
      </c>
      <c r="D11" s="7" t="inlineStr">
        <is>
          <t>م</t>
        </is>
      </c>
      <c r="E11" s="8" t="inlineStr">
        <is>
          <t>محسوب</t>
        </is>
      </c>
    </row>
    <row r="12">
      <c r="B12" s="9" t="inlineStr">
        <is>
          <t>ارتفاع الردم فوق السيكلوبين حتى المنسوب العام</t>
        </is>
      </c>
      <c r="C12" s="12">
        <f>C7-C10</f>
        <v>2.400000000000091</v>
      </c>
      <c r="D12" s="10" t="inlineStr">
        <is>
          <t>م</t>
        </is>
      </c>
      <c r="E12" s="11" t="inlineStr">
        <is>
          <t>محسوب</t>
        </is>
      </c>
    </row>
    <row r="13">
      <c r="B13" s="5" t="inlineStr">
        <is>
          <t>إزاحة السيكلوبين حول القواعد</t>
        </is>
      </c>
      <c r="C13" s="13" t="n">
        <v>1</v>
      </c>
      <c r="D13" s="7" t="inlineStr">
        <is>
          <t>م</t>
        </is>
      </c>
      <c r="E13" s="8" t="inlineStr">
        <is>
          <t>لا إزاحة على الوجه الخارجي للجدار الاستنادي</t>
        </is>
      </c>
    </row>
    <row r="16">
      <c r="B16" s="3" t="inlineStr">
        <is>
          <t>ثانياً: ملخص الكميات</t>
        </is>
      </c>
    </row>
    <row r="17" ht="48" customHeight="1">
      <c r="B17" s="4" t="inlineStr">
        <is>
          <t>البند</t>
        </is>
      </c>
      <c r="C17" s="4" t="inlineStr">
        <is>
          <t>المعتمد: الإزاحة
من وجه الخرسانة</t>
        </is>
      </c>
      <c r="D17" s="4" t="inlineStr">
        <is>
          <t>للمقارنة: الإزاحة
من حد النظافة</t>
        </is>
      </c>
      <c r="E17" s="4" t="inlineStr">
        <is>
          <t>الوحدة</t>
        </is>
      </c>
    </row>
    <row r="18">
      <c r="B18" s="5" t="inlineStr">
        <is>
          <t>مساحة النظافة (القواعد المهشرة)</t>
        </is>
      </c>
      <c r="C18" s="14">
        <f>'الإزاحة 1 م من وجه الخرسانة'!D12</f>
        <v>243.68</v>
      </c>
      <c r="D18" s="14">
        <f>'بديل - الإزاحة من حد النظافة'!D12</f>
        <v>243.68</v>
      </c>
      <c r="E18" s="7" t="inlineStr">
        <is>
          <t>م²</t>
        </is>
      </c>
    </row>
    <row r="19">
      <c r="B19" s="9" t="inlineStr">
        <is>
          <t>مساحة السيكلوبين</t>
        </is>
      </c>
      <c r="C19" s="15">
        <f>'الإزاحة 1 م من وجه الخرسانة'!E12</f>
        <v>369.84000000000003</v>
      </c>
      <c r="D19" s="15">
        <f>'بديل - الإزاحة من حد النظافة'!E12</f>
        <v>384.25</v>
      </c>
      <c r="E19" s="10" t="inlineStr">
        <is>
          <t>م²</t>
        </is>
      </c>
    </row>
    <row r="20">
      <c r="B20" s="5" t="inlineStr">
        <is>
          <t>مساحة شريط الإزاحة</t>
        </is>
      </c>
      <c r="C20" s="14">
        <f>'الإزاحة 1 م من وجه الخرسانة'!F12</f>
        <v>126.16</v>
      </c>
      <c r="D20" s="14">
        <f>'بديل - الإزاحة من حد النظافة'!F12</f>
        <v>140.57</v>
      </c>
      <c r="E20" s="7" t="inlineStr">
        <is>
          <t>م²</t>
        </is>
      </c>
    </row>
    <row r="21">
      <c r="B21" s="9" t="inlineStr">
        <is>
          <t>الحفر قبل – على مساحة النظافة</t>
        </is>
      </c>
      <c r="C21" s="15">
        <f>'الإزاحة 1 م من وجه الخرسانة'!G12</f>
        <v>706.6720000000222</v>
      </c>
      <c r="D21" s="15">
        <f>'بديل - الإزاحة من حد النظافة'!G12</f>
        <v>706.6720000000222</v>
      </c>
      <c r="E21" s="10" t="inlineStr">
        <is>
          <t>م³</t>
        </is>
      </c>
    </row>
    <row r="22">
      <c r="B22" s="5" t="inlineStr">
        <is>
          <t>الحفر بعد – على مساحة السيكلوبين</t>
        </is>
      </c>
      <c r="C22" s="14">
        <f>'الإزاحة 1 م من وجه الخرسانة'!H12</f>
        <v>1072.5360000000337</v>
      </c>
      <c r="D22" s="14">
        <f>'بديل - الإزاحة من حد النظافة'!H12</f>
        <v>1114.325000000035</v>
      </c>
      <c r="E22" s="7" t="inlineStr">
        <is>
          <t>م³</t>
        </is>
      </c>
    </row>
    <row r="23">
      <c r="B23" s="16" t="inlineStr">
        <is>
          <t>الحفر الزائد</t>
        </is>
      </c>
      <c r="C23" s="17">
        <f>'الإزاحة 1 م من وجه الخرسانة'!I12</f>
        <v>365.8640000000115</v>
      </c>
      <c r="D23" s="17">
        <f>'بديل - الإزاحة من حد النظافة'!I12</f>
        <v>407.65300000001287</v>
      </c>
      <c r="E23" s="18" t="inlineStr">
        <is>
          <t>م³</t>
        </is>
      </c>
    </row>
    <row r="24">
      <c r="B24" s="16" t="inlineStr">
        <is>
          <t>خرسانة السيكلوبين (دبش + خرسانة)</t>
        </is>
      </c>
      <c r="C24" s="17">
        <f>'الإزاحة 1 م من وجه الخرسانة'!J12</f>
        <v>184.92000000000002</v>
      </c>
      <c r="D24" s="17">
        <f>'بديل - الإزاحة من حد النظافة'!J12</f>
        <v>192.125</v>
      </c>
      <c r="E24" s="18" t="inlineStr">
        <is>
          <t>م³</t>
        </is>
      </c>
    </row>
    <row r="25">
      <c r="B25" s="9" t="inlineStr">
        <is>
          <t>الردم قبل – حتى 1120.9</t>
        </is>
      </c>
      <c r="C25" s="15">
        <f>'الردم'!N20</f>
        <v>486.1220000000152</v>
      </c>
      <c r="D25" s="19" t="inlineStr">
        <is>
          <t>—</t>
        </is>
      </c>
      <c r="E25" s="10" t="inlineStr">
        <is>
          <t>م³</t>
        </is>
      </c>
    </row>
    <row r="26">
      <c r="B26" s="16" t="inlineStr">
        <is>
          <t>الردم بعد – حتى 1120.9</t>
        </is>
      </c>
      <c r="C26" s="17">
        <f>'الردم'!N11</f>
        <v>686.3160000000266</v>
      </c>
      <c r="D26" s="20" t="inlineStr">
        <is>
          <t>—</t>
        </is>
      </c>
      <c r="E26" s="18" t="inlineStr">
        <is>
          <t>م³</t>
        </is>
      </c>
    </row>
    <row r="27">
      <c r="B27" s="16" t="inlineStr">
        <is>
          <t>فرق الردم (زيادة)</t>
        </is>
      </c>
      <c r="C27" s="20">
        <f>C26-C25</f>
        <v>200.19400000001144</v>
      </c>
      <c r="D27" s="20" t="inlineStr">
        <is>
          <t>—</t>
        </is>
      </c>
      <c r="E27" s="18" t="inlineStr">
        <is>
          <t>م³</t>
        </is>
      </c>
    </row>
    <row r="29">
      <c r="B29" s="21" t="inlineStr">
        <is>
          <t>• المعتمد: إزاحة 1 م من وجه الخرسانة (العمود الأول)؛ العمود الثاني للمقارنة فقط.</t>
        </is>
      </c>
    </row>
    <row r="30">
      <c r="B30" s="21" t="inlineStr">
        <is>
          <t>• الخلايا الصفراء في المعطيات قابلة للتعديل وتُحدّث كل الجداول تلقائياً.</t>
        </is>
      </c>
    </row>
  </sheetData>
  <mergeCells count="6">
    <mergeCell ref="B30:E30"/>
    <mergeCell ref="B16:E16"/>
    <mergeCell ref="B29:E29"/>
    <mergeCell ref="B3:E3"/>
    <mergeCell ref="B5:E5"/>
    <mergeCell ref="B2:E2"/>
  </mergeCells>
  <printOptions horizontalCentered="1"/>
  <pageMargins left="0.75" right="0.75" top="1" bottom="1" header="0.5" footer="0.5"/>
  <pageSetup orientation="landscape" fitToHeight="0" fitToWidth="1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B2:N17"/>
  <sheetViews>
    <sheetView showGridLines="0" rightToLeft="1" workbookViewId="0">
      <pane xSplit="3" ySplit="5" topLeftCell="D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5" customWidth="1" min="2" max="2"/>
    <col width="38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2" customWidth="1" min="15" max="15"/>
  </cols>
  <sheetData>
    <row r="2" ht="32" customHeight="1">
      <c r="B2" s="1" t="inlineStr">
        <is>
          <t>جدول مقارنة: قبل (الحفر على مساحة النظافة) – بعد (الحفر على مساحة السيكلوبين)</t>
        </is>
      </c>
    </row>
    <row r="3" ht="30" customHeight="1">
      <c r="B3" s="2" t="inlineStr">
        <is>
          <t>الإزاحة 1 م من وجه الخرسانة – الحفر من 1120.9 إلى 1118.0 – السيكلوبين من 1118.0 إلى 1118.5 – الردم من 1118.5 إلى 1120.9</t>
        </is>
      </c>
    </row>
    <row r="4" ht="24" customHeight="1">
      <c r="B4" s="22" t="n"/>
      <c r="C4" s="23" t="n"/>
      <c r="D4" s="22" t="inlineStr">
        <is>
          <t>المساحة (م²)</t>
        </is>
      </c>
      <c r="E4" s="23" t="n"/>
      <c r="F4" s="23" t="n"/>
      <c r="G4" s="22" t="inlineStr">
        <is>
          <t>الحفر (م³)</t>
        </is>
      </c>
      <c r="H4" s="23" t="n"/>
      <c r="I4" s="23" t="n"/>
      <c r="J4" s="23" t="n"/>
      <c r="K4" s="22" t="inlineStr">
        <is>
          <t>السيكلوبين (م³)</t>
        </is>
      </c>
      <c r="L4" s="22" t="inlineStr">
        <is>
          <t>الردم حتى 1120.9 (م³)</t>
        </is>
      </c>
      <c r="M4" s="23" t="n"/>
      <c r="N4" s="23" t="n"/>
    </row>
    <row r="5" ht="48" customHeight="1">
      <c r="B5" s="4" t="inlineStr">
        <is>
          <t>م</t>
        </is>
      </c>
      <c r="C5" s="4" t="inlineStr">
        <is>
          <t>القاعدة</t>
        </is>
      </c>
      <c r="D5" s="4" t="inlineStr">
        <is>
          <t>قبل
(النظافة)</t>
        </is>
      </c>
      <c r="E5" s="4" t="inlineStr">
        <is>
          <t>بعد
(السيكلوبين)</t>
        </is>
      </c>
      <c r="F5" s="4" t="inlineStr">
        <is>
          <t>الفرق</t>
        </is>
      </c>
      <c r="G5" s="4" t="inlineStr">
        <is>
          <t>قبل</t>
        </is>
      </c>
      <c r="H5" s="4" t="inlineStr">
        <is>
          <t>بعد</t>
        </is>
      </c>
      <c r="I5" s="4" t="inlineStr">
        <is>
          <t>الفرق
(زيادة)</t>
        </is>
      </c>
      <c r="J5" s="4" t="inlineStr">
        <is>
          <t>نسبة
الزيادة</t>
        </is>
      </c>
      <c r="K5" s="4" t="inlineStr">
        <is>
          <t>الكمية</t>
        </is>
      </c>
      <c r="L5" s="4" t="inlineStr">
        <is>
          <t>قبل</t>
        </is>
      </c>
      <c r="M5" s="4" t="inlineStr">
        <is>
          <t>بعد</t>
        </is>
      </c>
      <c r="N5" s="4" t="inlineStr">
        <is>
          <t>الفرق</t>
        </is>
      </c>
    </row>
    <row r="6">
      <c r="B6" s="7" t="n">
        <v>1</v>
      </c>
      <c r="C6" s="5" t="inlineStr">
        <is>
          <t>قاعدة الجدار الاستنادي – الجزء الشمالي والشرقي</t>
        </is>
      </c>
      <c r="D6" s="14">
        <f>'الإزاحة 1 م من وجه الخرسانة'!D7</f>
        <v>180.09</v>
      </c>
      <c r="E6" s="14">
        <f>'الإزاحة 1 م من وجه الخرسانة'!E7</f>
        <v>254.0</v>
      </c>
      <c r="F6" s="24">
        <f>E6-D6</f>
        <v>73.91</v>
      </c>
      <c r="G6" s="14">
        <f>'الإزاحة 1 م من وجه الخرسانة'!G7</f>
        <v>522.2610000000163</v>
      </c>
      <c r="H6" s="14">
        <f>'الإزاحة 1 م من وجه الخرسانة'!H7</f>
        <v>736.6000000000231</v>
      </c>
      <c r="I6" s="24">
        <f>H6-G6</f>
        <v>214.33900000000676</v>
      </c>
      <c r="J6" s="25">
        <f>I6/G6</f>
        <v>0.4104059081570327</v>
      </c>
      <c r="K6" s="14">
        <f>'الإزاحة 1 م من وجه الخرسانة'!J7</f>
        <v>127.0</v>
      </c>
      <c r="L6" s="14">
        <f>'الردم'!N15</f>
        <v>356.08000000001107</v>
      </c>
      <c r="M6" s="14">
        <f>'الردم'!N6</f>
        <v>457.9440000000178</v>
      </c>
      <c r="N6" s="24">
        <f>M6-L6</f>
        <v>101.86400000000674</v>
      </c>
    </row>
    <row r="7">
      <c r="B7" s="10" t="n">
        <v>2</v>
      </c>
      <c r="C7" s="9" t="inlineStr">
        <is>
          <t>قاعدة الجدار الاستنادي – الجزء الجنوبي والمنحنى</t>
        </is>
      </c>
      <c r="D7" s="15">
        <f>'الإزاحة 1 م من وجه الخرسانة'!D8</f>
        <v>38.65</v>
      </c>
      <c r="E7" s="15">
        <f>'الإزاحة 1 م من وجه الخرسانة'!E8</f>
        <v>58.35</v>
      </c>
      <c r="F7" s="26">
        <f>E7-D7</f>
        <v>19.700000000000003</v>
      </c>
      <c r="G7" s="15">
        <f>'الإزاحة 1 م من وجه الخرسانة'!G8</f>
        <v>112.08500000000352</v>
      </c>
      <c r="H7" s="15">
        <f>'الإزاحة 1 م من وجه الخرسانة'!H8</f>
        <v>169.21500000000532</v>
      </c>
      <c r="I7" s="26">
        <f>H7-G7</f>
        <v>57.1300000000018</v>
      </c>
      <c r="J7" s="27">
        <f>I7/G7</f>
        <v>0.5097024579560155</v>
      </c>
      <c r="K7" s="15">
        <f>'الإزاحة 1 م من وجه الخرسانة'!J8</f>
        <v>29.175</v>
      </c>
      <c r="L7" s="15">
        <f>'الردم'!N16</f>
        <v>72.52500000000201</v>
      </c>
      <c r="M7" s="15">
        <f>'الردم'!N7</f>
        <v>104.64000000000378</v>
      </c>
      <c r="N7" s="26">
        <f>M7-L7</f>
        <v>32.11500000000177</v>
      </c>
    </row>
    <row r="8">
      <c r="B8" s="7" t="n">
        <v>3</v>
      </c>
      <c r="C8" s="5" t="inlineStr">
        <is>
          <t>قاعدة منفصلة P1</t>
        </is>
      </c>
      <c r="D8" s="14">
        <f>'الإزاحة 1 م من وجه الخرسانة'!D9</f>
        <v>14.44</v>
      </c>
      <c r="E8" s="14">
        <f>'الإزاحة 1 م من وجه الخرسانة'!E9</f>
        <v>28.33</v>
      </c>
      <c r="F8" s="24">
        <f>E8-D8</f>
        <v>13.889999999999999</v>
      </c>
      <c r="G8" s="14">
        <f>'الإزاحة 1 م من وجه الخرسانة'!G9</f>
        <v>41.87600000000131</v>
      </c>
      <c r="H8" s="14">
        <f>'الإزاحة 1 م من وجه الخرسانة'!H9</f>
        <v>82.15700000000257</v>
      </c>
      <c r="I8" s="24">
        <f>H8-G8</f>
        <v>40.28100000000126</v>
      </c>
      <c r="J8" s="25">
        <f>I8/G8</f>
        <v>0.9619113573407201</v>
      </c>
      <c r="K8" s="14">
        <f>'الإزاحة 1 م من وجه الخرسانة'!J9</f>
        <v>14.165</v>
      </c>
      <c r="L8" s="14">
        <f>'الردم'!N17</f>
        <v>32.97300000000123</v>
      </c>
      <c r="M8" s="14">
        <f>'الردم'!N8</f>
        <v>59.33400000000249</v>
      </c>
      <c r="N8" s="24">
        <f>M8-L8</f>
        <v>26.361000000001262</v>
      </c>
    </row>
    <row r="9">
      <c r="B9" s="10" t="n">
        <v>4</v>
      </c>
      <c r="C9" s="9" t="inlineStr">
        <is>
          <t>قاعدة منفصلة P2</t>
        </is>
      </c>
      <c r="D9" s="15">
        <f>'الإزاحة 1 م من وجه الخرسانة'!D10</f>
        <v>5.25</v>
      </c>
      <c r="E9" s="15">
        <f>'الإزاحة 1 م من وجه الخرسانة'!E10</f>
        <v>16.29</v>
      </c>
      <c r="F9" s="26">
        <f>E9-D9</f>
        <v>11.04</v>
      </c>
      <c r="G9" s="15">
        <f>'الإزاحة 1 م من وجه الخرسانة'!G10</f>
        <v>15.225000000000477</v>
      </c>
      <c r="H9" s="15">
        <f>'الإزاحة 1 م من وجه الخرسانة'!H10</f>
        <v>47.24100000000148</v>
      </c>
      <c r="I9" s="26">
        <f>H9-G9</f>
        <v>32.016000000001</v>
      </c>
      <c r="J9" s="27">
        <f>I9/G9</f>
        <v>2.1028571428571428</v>
      </c>
      <c r="K9" s="15">
        <f>'الإزاحة 1 م من وجه الخرسانة'!J10</f>
        <v>8.145</v>
      </c>
      <c r="L9" s="15">
        <f>'الردم'!N18</f>
        <v>12.272000000000448</v>
      </c>
      <c r="M9" s="15">
        <f>'الردم'!N9</f>
        <v>36.30300000000145</v>
      </c>
      <c r="N9" s="26">
        <f>M9-L9</f>
        <v>24.031000000001</v>
      </c>
    </row>
    <row r="10">
      <c r="B10" s="7" t="n">
        <v>5</v>
      </c>
      <c r="C10" s="5" t="inlineStr">
        <is>
          <t>قاعدة منفصلة P3</t>
        </is>
      </c>
      <c r="D10" s="14">
        <f>'الإزاحة 1 م من وجه الخرسانة'!D11</f>
        <v>5.25</v>
      </c>
      <c r="E10" s="14">
        <f>'الإزاحة 1 م من وجه الخرسانة'!E11</f>
        <v>12.87</v>
      </c>
      <c r="F10" s="24">
        <f>E10-D10</f>
        <v>7.619999999999999</v>
      </c>
      <c r="G10" s="14">
        <f>'الإزاحة 1 م من وجه الخرسانة'!G11</f>
        <v>15.225000000000477</v>
      </c>
      <c r="H10" s="14">
        <f>'الإزاحة 1 م من وجه الخرسانة'!H11</f>
        <v>37.323000000001166</v>
      </c>
      <c r="I10" s="24">
        <f>H10-G10</f>
        <v>22.098000000000688</v>
      </c>
      <c r="J10" s="25">
        <f>I10/G10</f>
        <v>1.451428571428571</v>
      </c>
      <c r="K10" s="14">
        <f>'الإزاحة 1 م من وجه الخرسانة'!J11</f>
        <v>6.435</v>
      </c>
      <c r="L10" s="14">
        <f>'الردم'!N19</f>
        <v>12.272000000000448</v>
      </c>
      <c r="M10" s="14">
        <f>'الردم'!N10</f>
        <v>28.09500000000114</v>
      </c>
      <c r="N10" s="24">
        <f>M10-L10</f>
        <v>15.823000000000691</v>
      </c>
    </row>
    <row r="11">
      <c r="B11" s="28" t="inlineStr">
        <is>
          <t>المجموع</t>
        </is>
      </c>
      <c r="C11" s="29" t="n"/>
      <c r="D11" s="30">
        <f>'الإزاحة 1 م من وجه الخرسانة'!D12</f>
        <v>243.68</v>
      </c>
      <c r="E11" s="30">
        <f>'الإزاحة 1 م من وجه الخرسانة'!E12</f>
        <v>369.84000000000003</v>
      </c>
      <c r="F11" s="31">
        <f>E11-D11</f>
        <v>126.16000000000003</v>
      </c>
      <c r="G11" s="30">
        <f>'الإزاحة 1 م من وجه الخرسانة'!G12</f>
        <v>706.6720000000222</v>
      </c>
      <c r="H11" s="30">
        <f>'الإزاحة 1 م من وجه الخرسانة'!H12</f>
        <v>1072.5360000000337</v>
      </c>
      <c r="I11" s="31">
        <f>H11-G11</f>
        <v>365.8640000000115</v>
      </c>
      <c r="J11" s="32">
        <f>I11/G11</f>
        <v>0.5177281680892974</v>
      </c>
      <c r="K11" s="30">
        <f>'الإزاحة 1 م من وجه الخرسانة'!J12</f>
        <v>184.92000000000002</v>
      </c>
      <c r="L11" s="30">
        <f>'الردم'!N20</f>
        <v>486.1220000000152</v>
      </c>
      <c r="M11" s="30">
        <f>'الردم'!N11</f>
        <v>686.3160000000266</v>
      </c>
      <c r="N11" s="31">
        <f>M11-L11</f>
        <v>200.19400000001144</v>
      </c>
    </row>
    <row r="13">
      <c r="B13" s="33" t="inlineStr">
        <is>
          <t>ملاحظات:</t>
        </is>
      </c>
    </row>
    <row r="14">
      <c r="B14" s="21" t="inlineStr">
        <is>
          <t>• قبل: حفر القواعد على مساحة النظافة فقط (بدون سيكلوبين)، والقواعد على منسوب 1118.0.</t>
        </is>
      </c>
    </row>
    <row r="15">
      <c r="B15" s="21" t="inlineStr">
        <is>
          <t>• بعد: الحفر على مساحة السيكلوبين (القواعد + 1 م من وجه الخرسانة، بدون إزاحة على الوجه الخارجي للجدار الاستنادي).</t>
        </is>
      </c>
    </row>
    <row r="16">
      <c r="B16" s="21" t="inlineStr">
        <is>
          <t>• الردم = الحفر − السيكلوبين − خرسانة القواعد − رقاب الأعمدة والجدران حتى 1120.9 (التفصيل في صفحة الردم).</t>
        </is>
      </c>
    </row>
    <row r="17">
      <c r="B17" s="21" t="inlineStr">
        <is>
          <t>• الأرقام باللون الأحمر هي الفروقات الناتجة عن بند السيكلوبين؛ الأرقام الخضراء مرتبطة بصفحة التفصيل.</t>
        </is>
      </c>
    </row>
  </sheetData>
  <mergeCells count="12">
    <mergeCell ref="B16:N16"/>
    <mergeCell ref="B14:N14"/>
    <mergeCell ref="B11:C11"/>
    <mergeCell ref="G4:J4"/>
    <mergeCell ref="D4:F4"/>
    <mergeCell ref="B17:N17"/>
    <mergeCell ref="B13:N13"/>
    <mergeCell ref="B15:N15"/>
    <mergeCell ref="L4:N4"/>
    <mergeCell ref="B3:N3"/>
    <mergeCell ref="B2:N2"/>
    <mergeCell ref="B4:C4"/>
  </mergeCells>
  <printOptions horizontalCentered="1"/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B2:N27"/>
  <sheetViews>
    <sheetView showGridLines="0" rightToLeft="1" workbookViewId="0">
      <pane xSplit="3" ySplit="5" topLeftCell="D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5" customWidth="1" min="2" max="2"/>
    <col width="38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</cols>
  <sheetData>
    <row r="2" ht="32" customHeight="1">
      <c r="B2" s="1" t="inlineStr">
        <is>
          <t>حساب الردم = الحفر − السيكلوبين − خرسانة القواعد − رقاب الأعمدة والجدران</t>
        </is>
      </c>
    </row>
    <row r="3" ht="30" customHeight="1">
      <c r="B3" s="2" t="inlineStr">
        <is>
          <t>الردم حتى منسوب التسوية 1120.9 – الإزاحة 1 م من وجه الخرسانة</t>
        </is>
      </c>
    </row>
    <row r="4">
      <c r="B4" s="3" t="inlineStr">
        <is>
          <t>أولاً: بعد – القواعد على السيكلوبين (أسفل القاعدة 1118.5)، الحفر على مساحة السيكلوبين</t>
        </is>
      </c>
    </row>
    <row r="5" ht="48" customHeight="1">
      <c r="B5" s="4" t="inlineStr">
        <is>
          <t>م</t>
        </is>
      </c>
      <c r="C5" s="4" t="inlineStr">
        <is>
          <t>القاعدة</t>
        </is>
      </c>
      <c r="D5" s="4" t="inlineStr">
        <is>
          <t>سماكة القاعدة
(م)</t>
        </is>
      </c>
      <c r="E5" s="4" t="inlineStr">
        <is>
          <t>منسوب أسفل
القاعدة</t>
        </is>
      </c>
      <c r="F5" s="4" t="inlineStr">
        <is>
          <t>منسوب سطح
القاعدة</t>
        </is>
      </c>
      <c r="G5" s="4" t="inlineStr">
        <is>
          <t>الحفر
(م³)</t>
        </is>
      </c>
      <c r="H5" s="4" t="inlineStr">
        <is>
          <t>السيكلوبين
(م³)</t>
        </is>
      </c>
      <c r="I5" s="4" t="inlineStr">
        <is>
          <t>مساحة خرسانة
القاعدة (م²)</t>
        </is>
      </c>
      <c r="J5" s="4" t="inlineStr">
        <is>
          <t>خرسانة القاعدة
(م³)</t>
        </is>
      </c>
      <c r="K5" s="4" t="inlineStr">
        <is>
          <t>مساحة الرقاب
والجدران (م²)</t>
        </is>
      </c>
      <c r="L5" s="4" t="inlineStr">
        <is>
          <t>ارتفاع الرقاب
(م)</t>
        </is>
      </c>
      <c r="M5" s="4" t="inlineStr">
        <is>
          <t>حجم الرقاب
والجدران (م³)</t>
        </is>
      </c>
      <c r="N5" s="4" t="inlineStr">
        <is>
          <t>الردم
(م³)</t>
        </is>
      </c>
    </row>
    <row r="6">
      <c r="B6" s="7" t="n">
        <v>1</v>
      </c>
      <c r="C6" s="5" t="inlineStr">
        <is>
          <t>قاعدة الجدار الاستنادي – الجزء الشمالي والشرقي</t>
        </is>
      </c>
      <c r="D6" s="34" t="n">
        <v>0.6</v>
      </c>
      <c r="E6" s="14">
        <f>'الملخص'!$C$10</f>
        <v>1118.5</v>
      </c>
      <c r="F6" s="35">
        <f>E6+D6</f>
        <v>1119.1</v>
      </c>
      <c r="G6" s="14">
        <f>'الإزاحة 1 م من وجه الخرسانة'!H7</f>
        <v>736.6000000000231</v>
      </c>
      <c r="H6" s="14">
        <f>'الإزاحة 1 م من وجه الخرسانة'!J7</f>
        <v>127.0</v>
      </c>
      <c r="I6" s="34" t="n">
        <v>165.61</v>
      </c>
      <c r="J6" s="35">
        <f>I6*D6</f>
        <v>99.366</v>
      </c>
      <c r="K6" s="34" t="n">
        <v>29.05</v>
      </c>
      <c r="L6" s="35">
        <f>'الملخص'!$C$7-F6</f>
        <v>1.800000000000182</v>
      </c>
      <c r="M6" s="35">
        <f>K6*L6</f>
        <v>52.290000000005286</v>
      </c>
      <c r="N6" s="36">
        <f>G6-H6-J6-M6</f>
        <v>457.9440000000178</v>
      </c>
    </row>
    <row r="7">
      <c r="B7" s="10" t="n">
        <v>2</v>
      </c>
      <c r="C7" s="9" t="inlineStr">
        <is>
          <t>قاعدة الجدار الاستنادي – الجزء الجنوبي والمنحنى</t>
        </is>
      </c>
      <c r="D7" s="37" t="n">
        <v>0.6</v>
      </c>
      <c r="E7" s="15">
        <f>'الملخص'!$C$10</f>
        <v>1118.5</v>
      </c>
      <c r="F7" s="19">
        <f>E7+D7</f>
        <v>1119.1</v>
      </c>
      <c r="G7" s="15">
        <f>'الإزاحة 1 م من وجه الخرسانة'!H8</f>
        <v>169.21500000000532</v>
      </c>
      <c r="H7" s="15">
        <f>'الإزاحة 1 م من وجه الخرسانة'!J8</f>
        <v>29.175</v>
      </c>
      <c r="I7" s="37" t="n">
        <v>34.04</v>
      </c>
      <c r="J7" s="19">
        <f>I7*D7</f>
        <v>20.424</v>
      </c>
      <c r="K7" s="37" t="n">
        <v>8.32</v>
      </c>
      <c r="L7" s="19">
        <f>'الملخص'!$C$7-F7</f>
        <v>1.800000000000182</v>
      </c>
      <c r="M7" s="19">
        <f>K7*L7</f>
        <v>14.976000000001514</v>
      </c>
      <c r="N7" s="38">
        <f>G7-H7-J7-M7</f>
        <v>104.64000000000378</v>
      </c>
    </row>
    <row r="8">
      <c r="B8" s="7" t="n">
        <v>3</v>
      </c>
      <c r="C8" s="5" t="inlineStr">
        <is>
          <t>قاعدة منفصلة P1</t>
        </is>
      </c>
      <c r="D8" s="34" t="n">
        <v>0.6</v>
      </c>
      <c r="E8" s="14">
        <f>'الملخص'!$C$10</f>
        <v>1118.5</v>
      </c>
      <c r="F8" s="35">
        <f>E8+D8</f>
        <v>1119.1</v>
      </c>
      <c r="G8" s="14">
        <f>'الإزاحة 1 م من وجه الخرسانة'!H9</f>
        <v>82.15700000000257</v>
      </c>
      <c r="H8" s="14">
        <f>'الإزاحة 1 م من وجه الخرسانة'!J9</f>
        <v>14.165</v>
      </c>
      <c r="I8" s="34" t="n">
        <v>12.96</v>
      </c>
      <c r="J8" s="35">
        <f>I8*D8</f>
        <v>7.776</v>
      </c>
      <c r="K8" s="34" t="n">
        <v>0.49</v>
      </c>
      <c r="L8" s="35">
        <f>'الملخص'!$C$7-F8</f>
        <v>1.800000000000182</v>
      </c>
      <c r="M8" s="35">
        <f>K8*L8</f>
        <v>0.8820000000000892</v>
      </c>
      <c r="N8" s="36">
        <f>G8-H8-J8-M8</f>
        <v>59.33400000000249</v>
      </c>
    </row>
    <row r="9">
      <c r="B9" s="10" t="n">
        <v>4</v>
      </c>
      <c r="C9" s="9" t="inlineStr">
        <is>
          <t>قاعدة منفصلة P2</t>
        </is>
      </c>
      <c r="D9" s="37" t="n">
        <v>0.5</v>
      </c>
      <c r="E9" s="15">
        <f>'الملخص'!$C$10</f>
        <v>1118.5</v>
      </c>
      <c r="F9" s="19">
        <f>E9+D9</f>
        <v>1119.0</v>
      </c>
      <c r="G9" s="15">
        <f>'الإزاحة 1 م من وجه الخرسانة'!H10</f>
        <v>47.24100000000148</v>
      </c>
      <c r="H9" s="15">
        <f>'الإزاحة 1 م من وجه الخرسانة'!J10</f>
        <v>8.145</v>
      </c>
      <c r="I9" s="37" t="n">
        <v>4.37</v>
      </c>
      <c r="J9" s="19">
        <f>I9*D9</f>
        <v>2.185</v>
      </c>
      <c r="K9" s="37" t="n">
        <v>0.32</v>
      </c>
      <c r="L9" s="19">
        <f>'الملخص'!$C$7-F9</f>
        <v>1.900000000000091</v>
      </c>
      <c r="M9" s="19">
        <f>K9*L9</f>
        <v>0.6080000000000291</v>
      </c>
      <c r="N9" s="38">
        <f>G9-H9-J9-M9</f>
        <v>36.30300000000145</v>
      </c>
    </row>
    <row r="10">
      <c r="B10" s="7" t="n">
        <v>5</v>
      </c>
      <c r="C10" s="5" t="inlineStr">
        <is>
          <t>قاعدة منفصلة P3</t>
        </is>
      </c>
      <c r="D10" s="34" t="n">
        <v>0.5</v>
      </c>
      <c r="E10" s="14">
        <f>'الملخص'!$C$10</f>
        <v>1118.5</v>
      </c>
      <c r="F10" s="35">
        <f>E10+D10</f>
        <v>1119.0</v>
      </c>
      <c r="G10" s="14">
        <f>'الإزاحة 1 م من وجه الخرسانة'!H11</f>
        <v>37.323000000001166</v>
      </c>
      <c r="H10" s="14">
        <f>'الإزاحة 1 م من وجه الخرسانة'!J11</f>
        <v>6.435</v>
      </c>
      <c r="I10" s="34" t="n">
        <v>4.37</v>
      </c>
      <c r="J10" s="35">
        <f>I10*D10</f>
        <v>2.185</v>
      </c>
      <c r="K10" s="34" t="n">
        <v>0.32</v>
      </c>
      <c r="L10" s="35">
        <f>'الملخص'!$C$7-F10</f>
        <v>1.900000000000091</v>
      </c>
      <c r="M10" s="35">
        <f>K10*L10</f>
        <v>0.6080000000000291</v>
      </c>
      <c r="N10" s="36">
        <f>G10-H10-J10-M10</f>
        <v>28.09500000000114</v>
      </c>
    </row>
    <row r="11">
      <c r="B11" s="39" t="inlineStr">
        <is>
          <t>المجموع</t>
        </is>
      </c>
      <c r="C11" s="40" t="n"/>
      <c r="D11" s="41" t="n"/>
      <c r="E11" s="41" t="n"/>
      <c r="F11" s="41" t="n"/>
      <c r="G11" s="41">
        <f>SUM(G6:G10)</f>
        <v>1072.5360000000337</v>
      </c>
      <c r="H11" s="41">
        <f>SUM(H6:H10)</f>
        <v>184.92000000000002</v>
      </c>
      <c r="I11" s="41">
        <f>SUM(I6:I10)</f>
        <v>221.35000000000002</v>
      </c>
      <c r="J11" s="41">
        <f>SUM(J6:J10)</f>
        <v>131.93599999999998</v>
      </c>
      <c r="K11" s="41">
        <f>SUM(K6:K10)</f>
        <v>38.50000000000001</v>
      </c>
      <c r="L11" s="41" t="n"/>
      <c r="M11" s="41">
        <f>SUM(M6:M10)</f>
        <v>69.36400000000695</v>
      </c>
      <c r="N11" s="41">
        <f>SUM(N6:N10)</f>
        <v>686.3160000000266</v>
      </c>
    </row>
    <row r="13">
      <c r="B13" s="3" t="inlineStr">
        <is>
          <t>ثانياً: قبل – القواعد على منسوب 1118.0 مباشرة، الحفر على مساحة النظافة</t>
        </is>
      </c>
    </row>
    <row r="14" ht="48" customHeight="1">
      <c r="B14" s="4" t="inlineStr">
        <is>
          <t>م</t>
        </is>
      </c>
      <c r="C14" s="4" t="inlineStr">
        <is>
          <t>القاعدة</t>
        </is>
      </c>
      <c r="D14" s="4" t="inlineStr">
        <is>
          <t>سماكة القاعدة
(م)</t>
        </is>
      </c>
      <c r="E14" s="4" t="inlineStr">
        <is>
          <t>منسوب أسفل
القاعدة</t>
        </is>
      </c>
      <c r="F14" s="4" t="inlineStr">
        <is>
          <t>منسوب سطح
القاعدة</t>
        </is>
      </c>
      <c r="G14" s="4" t="inlineStr">
        <is>
          <t>الحفر
(م³)</t>
        </is>
      </c>
      <c r="H14" s="4" t="inlineStr">
        <is>
          <t>السيكلوبين
(م³)</t>
        </is>
      </c>
      <c r="I14" s="4" t="inlineStr">
        <is>
          <t>مساحة خرسانة
القاعدة (م²)</t>
        </is>
      </c>
      <c r="J14" s="4" t="inlineStr">
        <is>
          <t>خرسانة القاعدة
(م³)</t>
        </is>
      </c>
      <c r="K14" s="4" t="inlineStr">
        <is>
          <t>مساحة الرقاب
والجدران (م²)</t>
        </is>
      </c>
      <c r="L14" s="4" t="inlineStr">
        <is>
          <t>ارتفاع الرقاب
(م)</t>
        </is>
      </c>
      <c r="M14" s="4" t="inlineStr">
        <is>
          <t>حجم الرقاب
والجدران (م³)</t>
        </is>
      </c>
      <c r="N14" s="4" t="inlineStr">
        <is>
          <t>الردم
(م³)</t>
        </is>
      </c>
    </row>
    <row r="15">
      <c r="B15" s="7" t="n">
        <v>1</v>
      </c>
      <c r="C15" s="5" t="inlineStr">
        <is>
          <t>قاعدة الجدار الاستنادي – الجزء الشمالي والشرقي</t>
        </is>
      </c>
      <c r="D15" s="34" t="n">
        <v>0.6</v>
      </c>
      <c r="E15" s="14">
        <f>'الملخص'!$C$8</f>
        <v>1118.0</v>
      </c>
      <c r="F15" s="35">
        <f>E15+D15</f>
        <v>1118.6</v>
      </c>
      <c r="G15" s="14">
        <f>'الإزاحة 1 م من وجه الخرسانة'!G7</f>
        <v>522.2610000000163</v>
      </c>
      <c r="H15" s="35" t="n">
        <v>0</v>
      </c>
      <c r="I15" s="34" t="n">
        <v>165.61</v>
      </c>
      <c r="J15" s="35">
        <f>I15*D15</f>
        <v>99.366</v>
      </c>
      <c r="K15" s="34" t="n">
        <v>29.05</v>
      </c>
      <c r="L15" s="35">
        <f>'الملخص'!$C$7-F15</f>
        <v>2.300000000000182</v>
      </c>
      <c r="M15" s="35">
        <f>K15*L15</f>
        <v>66.81500000000528</v>
      </c>
      <c r="N15" s="36">
        <f>G15-H15-J15-M15</f>
        <v>356.08000000001107</v>
      </c>
    </row>
    <row r="16">
      <c r="B16" s="10" t="n">
        <v>2</v>
      </c>
      <c r="C16" s="9" t="inlineStr">
        <is>
          <t>قاعدة الجدار الاستنادي – الجزء الجنوبي والمنحنى</t>
        </is>
      </c>
      <c r="D16" s="37" t="n">
        <v>0.6</v>
      </c>
      <c r="E16" s="15">
        <f>'الملخص'!$C$8</f>
        <v>1118.0</v>
      </c>
      <c r="F16" s="19">
        <f>E16+D16</f>
        <v>1118.6</v>
      </c>
      <c r="G16" s="15">
        <f>'الإزاحة 1 م من وجه الخرسانة'!G8</f>
        <v>112.08500000000352</v>
      </c>
      <c r="H16" s="19" t="n">
        <v>0</v>
      </c>
      <c r="I16" s="37" t="n">
        <v>34.04</v>
      </c>
      <c r="J16" s="19">
        <f>I16*D16</f>
        <v>20.424</v>
      </c>
      <c r="K16" s="37" t="n">
        <v>8.32</v>
      </c>
      <c r="L16" s="19">
        <f>'الملخص'!$C$7-F16</f>
        <v>2.300000000000182</v>
      </c>
      <c r="M16" s="19">
        <f>K16*L16</f>
        <v>19.136000000001513</v>
      </c>
      <c r="N16" s="38">
        <f>G16-H16-J16-M16</f>
        <v>72.52500000000201</v>
      </c>
    </row>
    <row r="17">
      <c r="B17" s="7" t="n">
        <v>3</v>
      </c>
      <c r="C17" s="5" t="inlineStr">
        <is>
          <t>قاعدة منفصلة P1</t>
        </is>
      </c>
      <c r="D17" s="34" t="n">
        <v>0.6</v>
      </c>
      <c r="E17" s="14">
        <f>'الملخص'!$C$8</f>
        <v>1118.0</v>
      </c>
      <c r="F17" s="35">
        <f>E17+D17</f>
        <v>1118.6</v>
      </c>
      <c r="G17" s="14">
        <f>'الإزاحة 1 م من وجه الخرسانة'!G9</f>
        <v>41.87600000000131</v>
      </c>
      <c r="H17" s="35" t="n">
        <v>0</v>
      </c>
      <c r="I17" s="34" t="n">
        <v>12.96</v>
      </c>
      <c r="J17" s="35">
        <f>I17*D17</f>
        <v>7.776</v>
      </c>
      <c r="K17" s="34" t="n">
        <v>0.49</v>
      </c>
      <c r="L17" s="35">
        <f>'الملخص'!$C$7-F17</f>
        <v>2.300000000000182</v>
      </c>
      <c r="M17" s="35">
        <f>K17*L17</f>
        <v>1.127000000000089</v>
      </c>
      <c r="N17" s="36">
        <f>G17-H17-J17-M17</f>
        <v>32.97300000000123</v>
      </c>
    </row>
    <row r="18">
      <c r="B18" s="10" t="n">
        <v>4</v>
      </c>
      <c r="C18" s="9" t="inlineStr">
        <is>
          <t>قاعدة منفصلة P2</t>
        </is>
      </c>
      <c r="D18" s="37" t="n">
        <v>0.5</v>
      </c>
      <c r="E18" s="15">
        <f>'الملخص'!$C$8</f>
        <v>1118.0</v>
      </c>
      <c r="F18" s="19">
        <f>E18+D18</f>
        <v>1118.5</v>
      </c>
      <c r="G18" s="15">
        <f>'الإزاحة 1 م من وجه الخرسانة'!G10</f>
        <v>15.225000000000477</v>
      </c>
      <c r="H18" s="19" t="n">
        <v>0</v>
      </c>
      <c r="I18" s="37" t="n">
        <v>4.37</v>
      </c>
      <c r="J18" s="19">
        <f>I18*D18</f>
        <v>2.185</v>
      </c>
      <c r="K18" s="37" t="n">
        <v>0.32</v>
      </c>
      <c r="L18" s="19">
        <f>'الملخص'!$C$7-F18</f>
        <v>2.400000000000091</v>
      </c>
      <c r="M18" s="19">
        <f>K18*L18</f>
        <v>0.7680000000000291</v>
      </c>
      <c r="N18" s="38">
        <f>G18-H18-J18-M18</f>
        <v>12.272000000000448</v>
      </c>
    </row>
    <row r="19">
      <c r="B19" s="7" t="n">
        <v>5</v>
      </c>
      <c r="C19" s="5" t="inlineStr">
        <is>
          <t>قاعدة منفصلة P3</t>
        </is>
      </c>
      <c r="D19" s="34" t="n">
        <v>0.5</v>
      </c>
      <c r="E19" s="14">
        <f>'الملخص'!$C$8</f>
        <v>1118.0</v>
      </c>
      <c r="F19" s="35">
        <f>E19+D19</f>
        <v>1118.5</v>
      </c>
      <c r="G19" s="14">
        <f>'الإزاحة 1 م من وجه الخرسانة'!G11</f>
        <v>15.225000000000477</v>
      </c>
      <c r="H19" s="35" t="n">
        <v>0</v>
      </c>
      <c r="I19" s="34" t="n">
        <v>4.37</v>
      </c>
      <c r="J19" s="35">
        <f>I19*D19</f>
        <v>2.185</v>
      </c>
      <c r="K19" s="34" t="n">
        <v>0.32</v>
      </c>
      <c r="L19" s="35">
        <f>'الملخص'!$C$7-F19</f>
        <v>2.400000000000091</v>
      </c>
      <c r="M19" s="35">
        <f>K19*L19</f>
        <v>0.7680000000000291</v>
      </c>
      <c r="N19" s="36">
        <f>G19-H19-J19-M19</f>
        <v>12.272000000000448</v>
      </c>
    </row>
    <row r="20">
      <c r="B20" s="39" t="inlineStr">
        <is>
          <t>المجموع</t>
        </is>
      </c>
      <c r="C20" s="40" t="n"/>
      <c r="D20" s="41" t="n"/>
      <c r="E20" s="41" t="n"/>
      <c r="F20" s="41" t="n"/>
      <c r="G20" s="41">
        <f>SUM(G15:G19)</f>
        <v>706.6720000000222</v>
      </c>
      <c r="H20" s="41">
        <f>SUM(H15:H19)</f>
        <v>0.0</v>
      </c>
      <c r="I20" s="41">
        <f>SUM(I15:I19)</f>
        <v>221.35000000000002</v>
      </c>
      <c r="J20" s="41">
        <f>SUM(J15:J19)</f>
        <v>131.93599999999998</v>
      </c>
      <c r="K20" s="41">
        <f>SUM(K15:K19)</f>
        <v>38.50000000000001</v>
      </c>
      <c r="L20" s="41" t="n"/>
      <c r="M20" s="41">
        <f>SUM(M15:M19)</f>
        <v>88.61400000000695</v>
      </c>
      <c r="N20" s="41">
        <f>SUM(N15:N19)</f>
        <v>486.1220000000152</v>
      </c>
    </row>
    <row r="22">
      <c r="B22" s="33" t="inlineStr">
        <is>
          <t>ملاحظات:</t>
        </is>
      </c>
    </row>
    <row r="23">
      <c r="B23" s="21" t="inlineStr">
        <is>
          <t>• سماكات القواعد: قاعدة الجدار الاستنادي 60 سم (RAFT Thickness 60cm في الرسم)، F3 = 60 سم، F2 = 50 سم (جدول القواعد).</t>
        </is>
      </c>
    </row>
    <row r="24">
      <c r="B24" s="21" t="inlineStr">
        <is>
          <t>• مساحة خرسانة القاعدة = خط التهشير مُزاحاً 10 سم للداخل (التهشير مرسوم على حد النظافة).</t>
        </is>
      </c>
    </row>
    <row r="25">
      <c r="B25" s="21" t="inlineStr">
        <is>
          <t>• الرقاب والجدران: الأعمدة (S-S-COLUMN HATCH) والجدار الاستنادي والجدران الواقعة فوق القواعد، من سطح القاعدة حتى 1120.9.</t>
        </is>
      </c>
    </row>
    <row r="26">
      <c r="B26" s="21" t="inlineStr">
        <is>
          <t>• لم تُخصم الجسور الأرضية (G.B1) ولا خرسانة النظافة في حالة "قبل" – تحتاج مقاطعها وسماكتها.</t>
        </is>
      </c>
    </row>
    <row r="27">
      <c r="B27" s="21" t="inlineStr">
        <is>
          <t>• الخلايا الزرقاء من الرسم أو جدول القواعد، والخضراء مرتبطة بصفحات أخرى، والباقي معادلات.</t>
        </is>
      </c>
    </row>
  </sheetData>
  <mergeCells count="12">
    <mergeCell ref="B2:M2"/>
    <mergeCell ref="B22:N22"/>
    <mergeCell ref="B23:N23"/>
    <mergeCell ref="B3:M3"/>
    <mergeCell ref="B11:C11"/>
    <mergeCell ref="B27:N27"/>
    <mergeCell ref="B4:N4"/>
    <mergeCell ref="B20:C20"/>
    <mergeCell ref="B26:N26"/>
    <mergeCell ref="B13:N13"/>
    <mergeCell ref="B25:N25"/>
    <mergeCell ref="B24:N24"/>
  </mergeCells>
  <printOptions horizontalCentered="1"/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B2:K20"/>
  <sheetViews>
    <sheetView showGridLines="0" rightToLeft="1" workbookViewId="0">
      <pane xSplit="3" ySplit="6" topLeftCell="D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5" customWidth="1" min="2" max="2"/>
    <col width="40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2" customWidth="1" min="12" max="12"/>
  </cols>
  <sheetData>
    <row r="2" ht="32" customHeight="1">
      <c r="B2" s="1" t="inlineStr">
        <is>
          <t>جدول تفصيلي – الإزاحة 1 م من وجه الخرسانة</t>
        </is>
      </c>
    </row>
    <row r="3" ht="30" customHeight="1">
      <c r="B3" s="2" t="inlineStr">
        <is>
          <t>المعتمد: الإزاحة 1.0 م مقيسة من وجه الخرسانة (0.9 م من حد النظافة) – بدون إزاحة على الوجه الخارجي للجدار الاستنادي</t>
        </is>
      </c>
    </row>
    <row r="5" ht="48" customHeight="1">
      <c r="B5" s="4" t="inlineStr">
        <is>
          <t>م</t>
        </is>
      </c>
      <c r="C5" s="4" t="inlineStr">
        <is>
          <t>القاعدة</t>
        </is>
      </c>
      <c r="D5" s="4" t="inlineStr">
        <is>
          <t>مساحة النظافة
(م²)</t>
        </is>
      </c>
      <c r="E5" s="4" t="inlineStr">
        <is>
          <t>مساحة السيكلوبين
(م²)</t>
        </is>
      </c>
      <c r="F5" s="4" t="inlineStr">
        <is>
          <t>مساحة شريط الإزاحة
(م²)</t>
        </is>
      </c>
      <c r="G5" s="4" t="inlineStr">
        <is>
          <t>الحفر قبل
على مساحة النظافة
(م³)</t>
        </is>
      </c>
      <c r="H5" s="4" t="inlineStr">
        <is>
          <t>الحفر بعد
على مساحة السيكلوبين
(م³)</t>
        </is>
      </c>
      <c r="I5" s="4" t="inlineStr">
        <is>
          <t>الحفر الزائد
(م³)</t>
        </is>
      </c>
      <c r="J5" s="4" t="inlineStr">
        <is>
          <t>خرسانة السيكلوبين
(م³)</t>
        </is>
      </c>
      <c r="K5" s="4" t="inlineStr">
        <is>
          <t>ردم شريط الإزاحة
فوق السيكلوبين (م³)</t>
        </is>
      </c>
    </row>
    <row r="6">
      <c r="B6" s="42" t="inlineStr"/>
      <c r="C6" s="42" t="inlineStr"/>
      <c r="D6" s="42" t="inlineStr">
        <is>
          <t>من الرسم</t>
        </is>
      </c>
      <c r="E6" s="42" t="inlineStr">
        <is>
          <t>من الرسم</t>
        </is>
      </c>
      <c r="F6" s="42" t="inlineStr">
        <is>
          <t>سيكلوبين − نظافة</t>
        </is>
      </c>
      <c r="G6" s="42" t="inlineStr">
        <is>
          <t>نظافة × عمق الحفر</t>
        </is>
      </c>
      <c r="H6" s="42" t="inlineStr">
        <is>
          <t>سيكلوبين × عمق الحفر</t>
        </is>
      </c>
      <c r="I6" s="42" t="inlineStr">
        <is>
          <t>بعد − قبل</t>
        </is>
      </c>
      <c r="J6" s="42" t="inlineStr">
        <is>
          <t>سيكلوبين × السماكة</t>
        </is>
      </c>
      <c r="K6" s="42" t="inlineStr">
        <is>
          <t>شريط × ارتفاع الردم</t>
        </is>
      </c>
    </row>
    <row r="7">
      <c r="B7" s="7" t="n">
        <v>1</v>
      </c>
      <c r="C7" s="5" t="inlineStr">
        <is>
          <t>قاعدة الجدار الاستنادي – الجزء الشمالي والشرقي</t>
        </is>
      </c>
      <c r="D7" s="34" t="n">
        <v>180.09</v>
      </c>
      <c r="E7" s="34" t="n">
        <v>254</v>
      </c>
      <c r="F7" s="35">
        <f>E7-D7</f>
        <v>73.91</v>
      </c>
      <c r="G7" s="35">
        <f>D7*'الملخص'!$C$11</f>
        <v>522.2610000000163</v>
      </c>
      <c r="H7" s="35">
        <f>E7*'الملخص'!$C$11</f>
        <v>736.6000000000231</v>
      </c>
      <c r="I7" s="36">
        <f>H7-G7</f>
        <v>214.33900000000676</v>
      </c>
      <c r="J7" s="36">
        <f>E7*'الملخص'!$C$9</f>
        <v>127.0</v>
      </c>
      <c r="K7" s="36">
        <f>F7*'الملخص'!$C$12</f>
        <v>177.38400000000672</v>
      </c>
    </row>
    <row r="8">
      <c r="B8" s="10" t="n">
        <v>2</v>
      </c>
      <c r="C8" s="9" t="inlineStr">
        <is>
          <t>قاعدة الجدار الاستنادي – الجزء الجنوبي والمنحنى</t>
        </is>
      </c>
      <c r="D8" s="37" t="n">
        <v>38.65</v>
      </c>
      <c r="E8" s="37" t="n">
        <v>58.35</v>
      </c>
      <c r="F8" s="19">
        <f>E8-D8</f>
        <v>19.700000000000003</v>
      </c>
      <c r="G8" s="19">
        <f>D8*'الملخص'!$C$11</f>
        <v>112.08500000000352</v>
      </c>
      <c r="H8" s="19">
        <f>E8*'الملخص'!$C$11</f>
        <v>169.21500000000532</v>
      </c>
      <c r="I8" s="38">
        <f>H8-G8</f>
        <v>57.1300000000018</v>
      </c>
      <c r="J8" s="38">
        <f>E8*'الملخص'!$C$9</f>
        <v>29.175</v>
      </c>
      <c r="K8" s="38">
        <f>F8*'الملخص'!$C$12</f>
        <v>47.2800000000018</v>
      </c>
    </row>
    <row r="9">
      <c r="B9" s="7" t="n">
        <v>3</v>
      </c>
      <c r="C9" s="5" t="inlineStr">
        <is>
          <t>قاعدة منفصلة P1</t>
        </is>
      </c>
      <c r="D9" s="34" t="n">
        <v>14.44</v>
      </c>
      <c r="E9" s="34" t="n">
        <v>28.33</v>
      </c>
      <c r="F9" s="35">
        <f>E9-D9</f>
        <v>13.889999999999999</v>
      </c>
      <c r="G9" s="35">
        <f>D9*'الملخص'!$C$11</f>
        <v>41.87600000000131</v>
      </c>
      <c r="H9" s="35">
        <f>E9*'الملخص'!$C$11</f>
        <v>82.15700000000257</v>
      </c>
      <c r="I9" s="36">
        <f>H9-G9</f>
        <v>40.28100000000126</v>
      </c>
      <c r="J9" s="36">
        <f>E9*'الملخص'!$C$9</f>
        <v>14.165</v>
      </c>
      <c r="K9" s="36">
        <f>F9*'الملخص'!$C$12</f>
        <v>33.33600000000126</v>
      </c>
    </row>
    <row r="10">
      <c r="B10" s="10" t="n">
        <v>4</v>
      </c>
      <c r="C10" s="9" t="inlineStr">
        <is>
          <t>قاعدة منفصلة P2</t>
        </is>
      </c>
      <c r="D10" s="37" t="n">
        <v>5.25</v>
      </c>
      <c r="E10" s="37" t="n">
        <v>16.29</v>
      </c>
      <c r="F10" s="19">
        <f>E10-D10</f>
        <v>11.04</v>
      </c>
      <c r="G10" s="19">
        <f>D10*'الملخص'!$C$11</f>
        <v>15.225000000000477</v>
      </c>
      <c r="H10" s="19">
        <f>E10*'الملخص'!$C$11</f>
        <v>47.24100000000148</v>
      </c>
      <c r="I10" s="38">
        <f>H10-G10</f>
        <v>32.016000000001</v>
      </c>
      <c r="J10" s="38">
        <f>E10*'الملخص'!$C$9</f>
        <v>8.145</v>
      </c>
      <c r="K10" s="38">
        <f>F10*'الملخص'!$C$12</f>
        <v>26.496000000001</v>
      </c>
    </row>
    <row r="11">
      <c r="B11" s="7" t="n">
        <v>5</v>
      </c>
      <c r="C11" s="5" t="inlineStr">
        <is>
          <t>قاعدة منفصلة P3</t>
        </is>
      </c>
      <c r="D11" s="34" t="n">
        <v>5.25</v>
      </c>
      <c r="E11" s="34" t="n">
        <v>12.87</v>
      </c>
      <c r="F11" s="35">
        <f>E11-D11</f>
        <v>7.619999999999999</v>
      </c>
      <c r="G11" s="35">
        <f>D11*'الملخص'!$C$11</f>
        <v>15.225000000000477</v>
      </c>
      <c r="H11" s="35">
        <f>E11*'الملخص'!$C$11</f>
        <v>37.323000000001166</v>
      </c>
      <c r="I11" s="36">
        <f>H11-G11</f>
        <v>22.098000000000688</v>
      </c>
      <c r="J11" s="36">
        <f>E11*'الملخص'!$C$9</f>
        <v>6.435</v>
      </c>
      <c r="K11" s="36">
        <f>F11*'الملخص'!$C$12</f>
        <v>18.28800000000069</v>
      </c>
    </row>
    <row r="12">
      <c r="B12" s="28" t="inlineStr">
        <is>
          <t>المجموع</t>
        </is>
      </c>
      <c r="C12" s="29" t="n"/>
      <c r="D12" s="41">
        <f>SUM(D7:D11)</f>
        <v>243.68</v>
      </c>
      <c r="E12" s="41">
        <f>SUM(E7:E11)</f>
        <v>369.84000000000003</v>
      </c>
      <c r="F12" s="41">
        <f>SUM(F7:F11)</f>
        <v>126.16</v>
      </c>
      <c r="G12" s="41">
        <f>SUM(G7:G11)</f>
        <v>706.6720000000222</v>
      </c>
      <c r="H12" s="41">
        <f>SUM(H7:H11)</f>
        <v>1072.5360000000337</v>
      </c>
      <c r="I12" s="41">
        <f>SUM(I7:I11)</f>
        <v>365.8640000000115</v>
      </c>
      <c r="J12" s="41">
        <f>SUM(J7:J11)</f>
        <v>184.92000000000002</v>
      </c>
      <c r="K12" s="41">
        <f>SUM(K7:K11)</f>
        <v>302.7840000000115</v>
      </c>
    </row>
    <row r="14">
      <c r="B14" s="33" t="inlineStr">
        <is>
          <t>ملاحظات:</t>
        </is>
      </c>
    </row>
    <row r="15">
      <c r="B15" s="21" t="inlineStr">
        <is>
          <t>• مساحات النظافة والسيكلوبين مقيسة من ملف syclopien.dxf (التهشير الرمادي على طبقة S-D-WATER PROOF، وهو مرسوم على حد النظافة).</t>
        </is>
      </c>
    </row>
    <row r="16">
      <c r="B16" s="21" t="inlineStr">
        <is>
          <t>• في أماكن تداخل إزاحات القواعد المتجاورة وُزّعت المساحة المشتركة على أقرب قاعدة حتى لا تُحسب مرتين.</t>
        </is>
      </c>
    </row>
    <row r="17">
      <c r="B17" s="21" t="inlineStr">
        <is>
          <t>• الحفر الزائد = توسيع حفر القواعد بشريط الإزاحة من المنسوب العام حتى منسوب الحفر النهائي؛ لا يوجد حفر تحت هذا المنسوب.</t>
        </is>
      </c>
    </row>
    <row r="18">
      <c r="B18" s="21" t="inlineStr">
        <is>
          <t>• الردم الزائد = شريط الإزاحة فوق السيكلوبين حتى المنسوب العام. لا يشمل الردم فوق القواعد نفسها لأنه موجود في الحالتين.</t>
        </is>
      </c>
    </row>
    <row r="19">
      <c r="B19" s="21" t="inlineStr">
        <is>
          <t>• الجوانب محسوبة رأسية؛ أي ميول في جوانب الحفر تزيد الحفر والردم.</t>
        </is>
      </c>
    </row>
    <row r="20">
      <c r="B20" s="21" t="inlineStr">
        <is>
          <t>• الخلايا الزرقاء قيم مقيسة من الرسم، والباقي معادلات مرتبطة بصفحة الملخص.</t>
        </is>
      </c>
    </row>
  </sheetData>
  <mergeCells count="10">
    <mergeCell ref="B14:K14"/>
    <mergeCell ref="B17:K17"/>
    <mergeCell ref="B18:K18"/>
    <mergeCell ref="B16:K16"/>
    <mergeCell ref="B15:K15"/>
    <mergeCell ref="B2:K2"/>
    <mergeCell ref="B20:K20"/>
    <mergeCell ref="B3:K3"/>
    <mergeCell ref="B19:K19"/>
    <mergeCell ref="B12:C12"/>
  </mergeCells>
  <printOptions horizontalCentered="1"/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B2:K20"/>
  <sheetViews>
    <sheetView showGridLines="0" rightToLeft="1" workbookViewId="0">
      <pane xSplit="3" ySplit="6" topLeftCell="D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5" customWidth="1" min="2" max="2"/>
    <col width="40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2" customWidth="1" min="12" max="12"/>
  </cols>
  <sheetData>
    <row r="2" ht="32" customHeight="1">
      <c r="B2" s="1" t="inlineStr">
        <is>
          <t>جدول تفصيلي – بديل - الإزاحة من حد النظافة</t>
        </is>
      </c>
    </row>
    <row r="3" ht="30" customHeight="1">
      <c r="B3" s="2" t="inlineStr">
        <is>
          <t>للمقارنة فقط: الإزاحة 1.0 م مقيسة من خط التهشير (حد النظافة) – بدون إزاحة على الوجه الخارجي للجدار الاستنادي</t>
        </is>
      </c>
    </row>
    <row r="5" ht="48" customHeight="1">
      <c r="B5" s="4" t="inlineStr">
        <is>
          <t>م</t>
        </is>
      </c>
      <c r="C5" s="4" t="inlineStr">
        <is>
          <t>القاعدة</t>
        </is>
      </c>
      <c r="D5" s="4" t="inlineStr">
        <is>
          <t>مساحة النظافة
(م²)</t>
        </is>
      </c>
      <c r="E5" s="4" t="inlineStr">
        <is>
          <t>مساحة السيكلوبين
(م²)</t>
        </is>
      </c>
      <c r="F5" s="4" t="inlineStr">
        <is>
          <t>مساحة شريط الإزاحة
(م²)</t>
        </is>
      </c>
      <c r="G5" s="4" t="inlineStr">
        <is>
          <t>الحفر قبل
على مساحة النظافة
(م³)</t>
        </is>
      </c>
      <c r="H5" s="4" t="inlineStr">
        <is>
          <t>الحفر بعد
على مساحة السيكلوبين
(م³)</t>
        </is>
      </c>
      <c r="I5" s="4" t="inlineStr">
        <is>
          <t>الحفر الزائد
(م³)</t>
        </is>
      </c>
      <c r="J5" s="4" t="inlineStr">
        <is>
          <t>خرسانة السيكلوبين
(م³)</t>
        </is>
      </c>
      <c r="K5" s="4" t="inlineStr">
        <is>
          <t>ردم شريط الإزاحة
فوق السيكلوبين (م³)</t>
        </is>
      </c>
    </row>
    <row r="6">
      <c r="B6" s="42" t="inlineStr"/>
      <c r="C6" s="42" t="inlineStr"/>
      <c r="D6" s="42" t="inlineStr">
        <is>
          <t>من الرسم</t>
        </is>
      </c>
      <c r="E6" s="42" t="inlineStr">
        <is>
          <t>من الرسم</t>
        </is>
      </c>
      <c r="F6" s="42" t="inlineStr">
        <is>
          <t>سيكلوبين − نظافة</t>
        </is>
      </c>
      <c r="G6" s="42" t="inlineStr">
        <is>
          <t>نظافة × عمق الحفر</t>
        </is>
      </c>
      <c r="H6" s="42" t="inlineStr">
        <is>
          <t>سيكلوبين × عمق الحفر</t>
        </is>
      </c>
      <c r="I6" s="42" t="inlineStr">
        <is>
          <t>بعد − قبل</t>
        </is>
      </c>
      <c r="J6" s="42" t="inlineStr">
        <is>
          <t>سيكلوبين × السماكة</t>
        </is>
      </c>
      <c r="K6" s="42" t="inlineStr">
        <is>
          <t>شريط × ارتفاع الردم</t>
        </is>
      </c>
    </row>
    <row r="7">
      <c r="B7" s="7" t="n">
        <v>1</v>
      </c>
      <c r="C7" s="5" t="inlineStr">
        <is>
          <t>قاعدة الجدار الاستنادي – الجزء الشمالي والشرقي</t>
        </is>
      </c>
      <c r="D7" s="34" t="n">
        <v>180.09</v>
      </c>
      <c r="E7" s="34" t="n">
        <v>262.24</v>
      </c>
      <c r="F7" s="35">
        <f>E7-D7</f>
        <v>82.15</v>
      </c>
      <c r="G7" s="35">
        <f>D7*'الملخص'!$C$11</f>
        <v>522.2610000000163</v>
      </c>
      <c r="H7" s="35">
        <f>E7*'الملخص'!$C$11</f>
        <v>760.4960000000239</v>
      </c>
      <c r="I7" s="36">
        <f>H7-G7</f>
        <v>238.23500000000752</v>
      </c>
      <c r="J7" s="36">
        <f>E7*'الملخص'!$C$9</f>
        <v>131.12</v>
      </c>
      <c r="K7" s="36">
        <f>F7*'الملخص'!$C$12</f>
        <v>197.16000000000747</v>
      </c>
    </row>
    <row r="8">
      <c r="B8" s="10" t="n">
        <v>2</v>
      </c>
      <c r="C8" s="9" t="inlineStr">
        <is>
          <t>قاعدة الجدار الاستنادي – الجزء الجنوبي والمنحنى</t>
        </is>
      </c>
      <c r="D8" s="37" t="n">
        <v>38.65</v>
      </c>
      <c r="E8" s="37" t="n">
        <v>60.51</v>
      </c>
      <c r="F8" s="19">
        <f>E8-D8</f>
        <v>21.86</v>
      </c>
      <c r="G8" s="19">
        <f>D8*'الملخص'!$C$11</f>
        <v>112.08500000000352</v>
      </c>
      <c r="H8" s="19">
        <f>E8*'الملخص'!$C$11</f>
        <v>175.4790000000055</v>
      </c>
      <c r="I8" s="38">
        <f>H8-G8</f>
        <v>63.39400000000198</v>
      </c>
      <c r="J8" s="38">
        <f>E8*'الملخص'!$C$9</f>
        <v>30.255</v>
      </c>
      <c r="K8" s="38">
        <f>F8*'الملخص'!$C$12</f>
        <v>52.46400000000199</v>
      </c>
    </row>
    <row r="9">
      <c r="B9" s="7" t="n">
        <v>3</v>
      </c>
      <c r="C9" s="5" t="inlineStr">
        <is>
          <t>قاعدة منفصلة P1</t>
        </is>
      </c>
      <c r="D9" s="34" t="n">
        <v>14.44</v>
      </c>
      <c r="E9" s="34" t="n">
        <v>29.95</v>
      </c>
      <c r="F9" s="35">
        <f>E9-D9</f>
        <v>15.51</v>
      </c>
      <c r="G9" s="35">
        <f>D9*'الملخص'!$C$11</f>
        <v>41.87600000000131</v>
      </c>
      <c r="H9" s="35">
        <f>E9*'الملخص'!$C$11</f>
        <v>86.85500000000272</v>
      </c>
      <c r="I9" s="36">
        <f>H9-G9</f>
        <v>44.979000000001406</v>
      </c>
      <c r="J9" s="36">
        <f>E9*'الملخص'!$C$9</f>
        <v>14.975</v>
      </c>
      <c r="K9" s="36">
        <f>F9*'الملخص'!$C$12</f>
        <v>37.22400000000141</v>
      </c>
    </row>
    <row r="10">
      <c r="B10" s="10" t="n">
        <v>4</v>
      </c>
      <c r="C10" s="9" t="inlineStr">
        <is>
          <t>قاعدة منفصلة P2</t>
        </is>
      </c>
      <c r="D10" s="37" t="n">
        <v>5.25</v>
      </c>
      <c r="E10" s="37" t="n">
        <v>17.73</v>
      </c>
      <c r="F10" s="19">
        <f>E10-D10</f>
        <v>12.48</v>
      </c>
      <c r="G10" s="19">
        <f>D10*'الملخص'!$C$11</f>
        <v>15.225000000000477</v>
      </c>
      <c r="H10" s="19">
        <f>E10*'الملخص'!$C$11</f>
        <v>51.417000000001615</v>
      </c>
      <c r="I10" s="38">
        <f>H10-G10</f>
        <v>36.19200000000114</v>
      </c>
      <c r="J10" s="38">
        <f>E10*'الملخص'!$C$9</f>
        <v>8.865</v>
      </c>
      <c r="K10" s="38">
        <f>F10*'الملخص'!$C$12</f>
        <v>29.952000000001135</v>
      </c>
    </row>
    <row r="11">
      <c r="B11" s="7" t="n">
        <v>5</v>
      </c>
      <c r="C11" s="5" t="inlineStr">
        <is>
          <t>قاعدة منفصلة P3</t>
        </is>
      </c>
      <c r="D11" s="34" t="n">
        <v>5.25</v>
      </c>
      <c r="E11" s="34" t="n">
        <v>13.82</v>
      </c>
      <c r="F11" s="35">
        <f>E11-D11</f>
        <v>8.57</v>
      </c>
      <c r="G11" s="35">
        <f>D11*'الملخص'!$C$11</f>
        <v>15.225000000000477</v>
      </c>
      <c r="H11" s="35">
        <f>E11*'الملخص'!$C$11</f>
        <v>40.07800000000126</v>
      </c>
      <c r="I11" s="36">
        <f>H11-G11</f>
        <v>24.853000000000783</v>
      </c>
      <c r="J11" s="36">
        <f>E11*'الملخص'!$C$9</f>
        <v>6.91</v>
      </c>
      <c r="K11" s="36">
        <f>F11*'الملخص'!$C$12</f>
        <v>20.56800000000078</v>
      </c>
    </row>
    <row r="12">
      <c r="B12" s="28" t="inlineStr">
        <is>
          <t>المجموع</t>
        </is>
      </c>
      <c r="C12" s="29" t="n"/>
      <c r="D12" s="41">
        <f>SUM(D7:D11)</f>
        <v>243.68</v>
      </c>
      <c r="E12" s="41">
        <f>SUM(E7:E11)</f>
        <v>384.25</v>
      </c>
      <c r="F12" s="41">
        <f>SUM(F7:F11)</f>
        <v>140.57</v>
      </c>
      <c r="G12" s="41">
        <f>SUM(G7:G11)</f>
        <v>706.6720000000222</v>
      </c>
      <c r="H12" s="41">
        <f>SUM(H7:H11)</f>
        <v>1114.325000000035</v>
      </c>
      <c r="I12" s="41">
        <f>SUM(I7:I11)</f>
        <v>407.65300000001287</v>
      </c>
      <c r="J12" s="41">
        <f>SUM(J7:J11)</f>
        <v>192.125</v>
      </c>
      <c r="K12" s="41">
        <f>SUM(K7:K11)</f>
        <v>337.3680000000128</v>
      </c>
    </row>
    <row r="14">
      <c r="B14" s="33" t="inlineStr">
        <is>
          <t>ملاحظات:</t>
        </is>
      </c>
    </row>
    <row r="15">
      <c r="B15" s="21" t="inlineStr">
        <is>
          <t>• مساحات النظافة والسيكلوبين مقيسة من ملف syclopien.dxf (التهشير الرمادي على طبقة S-D-WATER PROOF، وهو مرسوم على حد النظافة).</t>
        </is>
      </c>
    </row>
    <row r="16">
      <c r="B16" s="21" t="inlineStr">
        <is>
          <t>• في أماكن تداخل إزاحات القواعد المتجاورة وُزّعت المساحة المشتركة على أقرب قاعدة حتى لا تُحسب مرتين.</t>
        </is>
      </c>
    </row>
    <row r="17">
      <c r="B17" s="21" t="inlineStr">
        <is>
          <t>• الحفر الزائد = توسيع حفر القواعد بشريط الإزاحة من المنسوب العام حتى منسوب الحفر النهائي؛ لا يوجد حفر تحت هذا المنسوب.</t>
        </is>
      </c>
    </row>
    <row r="18">
      <c r="B18" s="21" t="inlineStr">
        <is>
          <t>• الردم الزائد = شريط الإزاحة فوق السيكلوبين حتى المنسوب العام. لا يشمل الردم فوق القواعد نفسها لأنه موجود في الحالتين.</t>
        </is>
      </c>
    </row>
    <row r="19">
      <c r="B19" s="21" t="inlineStr">
        <is>
          <t>• الجوانب محسوبة رأسية؛ أي ميول في جوانب الحفر تزيد الحفر والردم.</t>
        </is>
      </c>
    </row>
    <row r="20">
      <c r="B20" s="21" t="inlineStr">
        <is>
          <t>• الخلايا الزرقاء قيم مقيسة من الرسم، والباقي معادلات مرتبطة بصفحة الملخص.</t>
        </is>
      </c>
    </row>
  </sheetData>
  <mergeCells count="10">
    <mergeCell ref="B14:K14"/>
    <mergeCell ref="B17:K17"/>
    <mergeCell ref="B18:K18"/>
    <mergeCell ref="B16:K16"/>
    <mergeCell ref="B15:K15"/>
    <mergeCell ref="B2:K2"/>
    <mergeCell ref="B20:K20"/>
    <mergeCell ref="B3:K3"/>
    <mergeCell ref="B19:K19"/>
    <mergeCell ref="B12:C12"/>
  </mergeCells>
  <printOptions horizontalCentered="1"/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2026-10-04T10:22:25Z</dcterms:created>
  <dcterms:modified xsi:type="dcterms:W3CDTF">2026-10-04T10:22:25Z</dcterms:modified>
</cp:coreProperties>
</file>